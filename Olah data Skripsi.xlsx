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ICOR DL Minggu\"/>
    </mc:Choice>
  </mc:AlternateContent>
  <xr:revisionPtr revIDLastSave="0" documentId="13_ncr:1_{D0CE6308-2AE3-4CC4-8FAB-5FBC78FD847F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PDRB" sheetId="1" r:id="rId1"/>
    <sheet name="Peringkat PDRB Jawa Timur" sheetId="2" r:id="rId2"/>
    <sheet name="Investasi" sheetId="3" r:id="rId3"/>
    <sheet name="Realisasi PMDN" sheetId="4" r:id="rId4"/>
    <sheet name="SLQ" sheetId="5" r:id="rId5"/>
    <sheet name="Rasio Investasi" sheetId="6" r:id="rId6"/>
    <sheet name="ICOR" sheetId="7" r:id="rId7"/>
    <sheet name="Kebutuhan Investasi" sheetId="8" r:id="rId8"/>
    <sheet name="Klasifikasi" sheetId="9" r:id="rId9"/>
    <sheet name="Sheet1" sheetId="10" r:id="rId10"/>
  </sheets>
  <calcPr calcId="191029"/>
  <extLst>
    <ext uri="GoogleSheetsCustomDataVersion1">
      <go:sheetsCustomData xmlns:go="http://customooxmlschemas.google.com/" r:id="rId14" roundtripDataSignature="AMtx7mi3P4TPzSKti90B35gD4oZl1vR9EA=="/>
    </ext>
  </extLst>
</workbook>
</file>

<file path=xl/calcChain.xml><?xml version="1.0" encoding="utf-8"?>
<calcChain xmlns="http://schemas.openxmlformats.org/spreadsheetml/2006/main">
  <c r="I24" i="6" l="1"/>
  <c r="D19" i="10"/>
  <c r="B19" i="10"/>
  <c r="E65" i="8"/>
  <c r="D65" i="8"/>
  <c r="E64" i="8"/>
  <c r="D64" i="8"/>
  <c r="D63" i="8"/>
  <c r="E63" i="8" s="1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49" i="8"/>
  <c r="E48" i="8"/>
  <c r="G47" i="8"/>
  <c r="D47" i="8"/>
  <c r="E46" i="8"/>
  <c r="D45" i="8"/>
  <c r="G45" i="8" s="1"/>
  <c r="E44" i="8"/>
  <c r="E52" i="8" s="1"/>
  <c r="G43" i="8"/>
  <c r="D43" i="8"/>
  <c r="G42" i="8"/>
  <c r="E42" i="8"/>
  <c r="G41" i="8"/>
  <c r="D41" i="8"/>
  <c r="D40" i="8"/>
  <c r="G40" i="8" s="1"/>
  <c r="G39" i="8"/>
  <c r="D39" i="8"/>
  <c r="E38" i="8"/>
  <c r="E37" i="8"/>
  <c r="G36" i="8"/>
  <c r="D36" i="8"/>
  <c r="D35" i="8"/>
  <c r="G35" i="8" s="1"/>
  <c r="G34" i="8"/>
  <c r="D34" i="8"/>
  <c r="E33" i="8"/>
  <c r="G28" i="8"/>
  <c r="I27" i="8"/>
  <c r="H27" i="8"/>
  <c r="D24" i="8"/>
  <c r="E24" i="8" s="1"/>
  <c r="E23" i="8"/>
  <c r="D23" i="8"/>
  <c r="E22" i="8"/>
  <c r="D22" i="8"/>
  <c r="E21" i="8"/>
  <c r="D21" i="8"/>
  <c r="D20" i="8"/>
  <c r="E20" i="8" s="1"/>
  <c r="E19" i="8"/>
  <c r="D19" i="8"/>
  <c r="E18" i="8"/>
  <c r="D18" i="8"/>
  <c r="E17" i="8"/>
  <c r="D17" i="8"/>
  <c r="D16" i="8"/>
  <c r="E16" i="8" s="1"/>
  <c r="E15" i="8"/>
  <c r="D15" i="8"/>
  <c r="E11" i="8"/>
  <c r="D11" i="8"/>
  <c r="E10" i="8"/>
  <c r="D10" i="8"/>
  <c r="D9" i="8"/>
  <c r="E9" i="8" s="1"/>
  <c r="E8" i="8"/>
  <c r="D8" i="8"/>
  <c r="E7" i="8"/>
  <c r="D7" i="8"/>
  <c r="E6" i="8"/>
  <c r="D6" i="8"/>
  <c r="D5" i="8"/>
  <c r="E5" i="8" s="1"/>
  <c r="E4" i="8"/>
  <c r="D4" i="8"/>
  <c r="E3" i="8"/>
  <c r="D3" i="8"/>
  <c r="E2" i="8"/>
  <c r="D2" i="8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46" i="7" s="1"/>
  <c r="E25" i="7"/>
  <c r="D25" i="7"/>
  <c r="C25" i="7"/>
  <c r="B25" i="7"/>
  <c r="F25" i="7" s="1"/>
  <c r="E24" i="7"/>
  <c r="D24" i="7"/>
  <c r="C24" i="7"/>
  <c r="F24" i="7" s="1"/>
  <c r="B24" i="7"/>
  <c r="E23" i="7"/>
  <c r="D23" i="7"/>
  <c r="C23" i="7"/>
  <c r="B23" i="7"/>
  <c r="F23" i="7" s="1"/>
  <c r="F22" i="7"/>
  <c r="E22" i="7"/>
  <c r="D22" i="7"/>
  <c r="C22" i="7"/>
  <c r="B22" i="7"/>
  <c r="E21" i="7"/>
  <c r="D21" i="7"/>
  <c r="C21" i="7"/>
  <c r="F21" i="7" s="1"/>
  <c r="B21" i="7"/>
  <c r="E20" i="7"/>
  <c r="D20" i="7"/>
  <c r="C20" i="7"/>
  <c r="B20" i="7"/>
  <c r="F20" i="7" s="1"/>
  <c r="E19" i="7"/>
  <c r="D19" i="7"/>
  <c r="C19" i="7"/>
  <c r="F19" i="7" s="1"/>
  <c r="B19" i="7"/>
  <c r="E18" i="7"/>
  <c r="D18" i="7"/>
  <c r="C18" i="7"/>
  <c r="B18" i="7"/>
  <c r="F18" i="7" s="1"/>
  <c r="E17" i="7"/>
  <c r="D17" i="7"/>
  <c r="C17" i="7"/>
  <c r="B17" i="7"/>
  <c r="F17" i="7" s="1"/>
  <c r="E16" i="7"/>
  <c r="D16" i="7"/>
  <c r="C16" i="7"/>
  <c r="B16" i="7"/>
  <c r="F16" i="7" s="1"/>
  <c r="B31" i="6"/>
  <c r="E31" i="6" s="1"/>
  <c r="B30" i="6"/>
  <c r="E30" i="6" s="1"/>
  <c r="B27" i="6"/>
  <c r="E27" i="6" s="1"/>
  <c r="B26" i="6"/>
  <c r="E26" i="6" s="1"/>
  <c r="D24" i="6"/>
  <c r="B33" i="6" s="1"/>
  <c r="E33" i="6" s="1"/>
  <c r="B24" i="6"/>
  <c r="K20" i="6"/>
  <c r="I20" i="6"/>
  <c r="G20" i="6"/>
  <c r="B20" i="6"/>
  <c r="E24" i="6" s="1"/>
  <c r="P19" i="6"/>
  <c r="K19" i="6"/>
  <c r="J19" i="6"/>
  <c r="I19" i="6"/>
  <c r="H19" i="6"/>
  <c r="G19" i="6"/>
  <c r="P18" i="6"/>
  <c r="K18" i="6"/>
  <c r="J18" i="6"/>
  <c r="I18" i="6"/>
  <c r="H18" i="6"/>
  <c r="G18" i="6"/>
  <c r="P17" i="6"/>
  <c r="K17" i="6"/>
  <c r="J17" i="6"/>
  <c r="I17" i="6"/>
  <c r="H17" i="6"/>
  <c r="G17" i="6"/>
  <c r="P16" i="6"/>
  <c r="K16" i="6"/>
  <c r="J16" i="6"/>
  <c r="I16" i="6"/>
  <c r="H16" i="6"/>
  <c r="G16" i="6"/>
  <c r="P15" i="6"/>
  <c r="K15" i="6"/>
  <c r="J15" i="6"/>
  <c r="I15" i="6"/>
  <c r="H15" i="6"/>
  <c r="G15" i="6"/>
  <c r="P14" i="6"/>
  <c r="K14" i="6"/>
  <c r="J14" i="6"/>
  <c r="I14" i="6"/>
  <c r="H14" i="6"/>
  <c r="G14" i="6"/>
  <c r="P13" i="6"/>
  <c r="K13" i="6"/>
  <c r="J13" i="6"/>
  <c r="I13" i="6"/>
  <c r="H13" i="6"/>
  <c r="G13" i="6"/>
  <c r="P12" i="6"/>
  <c r="K12" i="6"/>
  <c r="J12" i="6"/>
  <c r="I12" i="6"/>
  <c r="H12" i="6"/>
  <c r="G12" i="6"/>
  <c r="P11" i="6"/>
  <c r="K11" i="6"/>
  <c r="J11" i="6"/>
  <c r="I11" i="6"/>
  <c r="H11" i="6"/>
  <c r="G11" i="6"/>
  <c r="P10" i="6"/>
  <c r="K10" i="6"/>
  <c r="J10" i="6"/>
  <c r="I10" i="6"/>
  <c r="H10" i="6"/>
  <c r="G10" i="6"/>
  <c r="P9" i="6"/>
  <c r="K9" i="6"/>
  <c r="J9" i="6"/>
  <c r="I9" i="6"/>
  <c r="H9" i="6"/>
  <c r="G9" i="6"/>
  <c r="P8" i="6"/>
  <c r="K8" i="6"/>
  <c r="J8" i="6"/>
  <c r="I8" i="6"/>
  <c r="H8" i="6"/>
  <c r="G8" i="6"/>
  <c r="P7" i="6"/>
  <c r="K7" i="6"/>
  <c r="J7" i="6"/>
  <c r="I7" i="6"/>
  <c r="H7" i="6"/>
  <c r="G7" i="6"/>
  <c r="P6" i="6"/>
  <c r="K6" i="6"/>
  <c r="J6" i="6"/>
  <c r="I6" i="6"/>
  <c r="H6" i="6"/>
  <c r="G6" i="6"/>
  <c r="P5" i="6"/>
  <c r="K5" i="6"/>
  <c r="J5" i="6"/>
  <c r="I5" i="6"/>
  <c r="H5" i="6"/>
  <c r="G5" i="6"/>
  <c r="P4" i="6"/>
  <c r="K4" i="6"/>
  <c r="J4" i="6"/>
  <c r="I4" i="6"/>
  <c r="H4" i="6"/>
  <c r="G4" i="6"/>
  <c r="P3" i="6"/>
  <c r="K3" i="6"/>
  <c r="J3" i="6"/>
  <c r="J20" i="6" s="1"/>
  <c r="I3" i="6"/>
  <c r="H3" i="6"/>
  <c r="H20" i="6" s="1"/>
  <c r="G3" i="6"/>
  <c r="O20" i="5"/>
  <c r="M20" i="5"/>
  <c r="J20" i="5"/>
  <c r="G20" i="5"/>
  <c r="N20" i="5" s="1"/>
  <c r="D20" i="5"/>
  <c r="O19" i="5"/>
  <c r="M19" i="5"/>
  <c r="J19" i="5"/>
  <c r="G19" i="5"/>
  <c r="D19" i="5"/>
  <c r="N19" i="5" s="1"/>
  <c r="O18" i="5"/>
  <c r="M18" i="5"/>
  <c r="J18" i="5"/>
  <c r="G18" i="5"/>
  <c r="D18" i="5"/>
  <c r="N18" i="5" s="1"/>
  <c r="O17" i="5"/>
  <c r="M17" i="5"/>
  <c r="J17" i="5"/>
  <c r="G17" i="5"/>
  <c r="N17" i="5" s="1"/>
  <c r="D17" i="5"/>
  <c r="O16" i="5"/>
  <c r="M16" i="5"/>
  <c r="J16" i="5"/>
  <c r="G16" i="5"/>
  <c r="N16" i="5" s="1"/>
  <c r="D16" i="5"/>
  <c r="O15" i="5"/>
  <c r="M15" i="5"/>
  <c r="J15" i="5"/>
  <c r="G15" i="5"/>
  <c r="D15" i="5"/>
  <c r="N15" i="5" s="1"/>
  <c r="O14" i="5"/>
  <c r="M14" i="5"/>
  <c r="J14" i="5"/>
  <c r="G14" i="5"/>
  <c r="D14" i="5"/>
  <c r="N14" i="5" s="1"/>
  <c r="O13" i="5"/>
  <c r="M13" i="5"/>
  <c r="J13" i="5"/>
  <c r="G13" i="5"/>
  <c r="N13" i="5" s="1"/>
  <c r="D13" i="5"/>
  <c r="O12" i="5"/>
  <c r="M12" i="5"/>
  <c r="J12" i="5"/>
  <c r="G12" i="5"/>
  <c r="N12" i="5" s="1"/>
  <c r="D12" i="5"/>
  <c r="O11" i="5"/>
  <c r="M11" i="5"/>
  <c r="J11" i="5"/>
  <c r="G11" i="5"/>
  <c r="D11" i="5"/>
  <c r="N11" i="5" s="1"/>
  <c r="O10" i="5"/>
  <c r="M10" i="5"/>
  <c r="J10" i="5"/>
  <c r="G10" i="5"/>
  <c r="D10" i="5"/>
  <c r="N10" i="5" s="1"/>
  <c r="O9" i="5"/>
  <c r="M9" i="5"/>
  <c r="J9" i="5"/>
  <c r="G9" i="5"/>
  <c r="N9" i="5" s="1"/>
  <c r="D9" i="5"/>
  <c r="O8" i="5"/>
  <c r="M8" i="5"/>
  <c r="J8" i="5"/>
  <c r="G8" i="5"/>
  <c r="N8" i="5" s="1"/>
  <c r="D8" i="5"/>
  <c r="O7" i="5"/>
  <c r="M7" i="5"/>
  <c r="J7" i="5"/>
  <c r="G7" i="5"/>
  <c r="D7" i="5"/>
  <c r="N7" i="5" s="1"/>
  <c r="O6" i="5"/>
  <c r="M6" i="5"/>
  <c r="J6" i="5"/>
  <c r="G6" i="5"/>
  <c r="D6" i="5"/>
  <c r="N6" i="5" s="1"/>
  <c r="O5" i="5"/>
  <c r="M5" i="5"/>
  <c r="J5" i="5"/>
  <c r="G5" i="5"/>
  <c r="N5" i="5" s="1"/>
  <c r="D5" i="5"/>
  <c r="O4" i="5"/>
  <c r="M4" i="5"/>
  <c r="J4" i="5"/>
  <c r="G4" i="5"/>
  <c r="N4" i="5" s="1"/>
  <c r="D4" i="5"/>
  <c r="O3" i="5"/>
  <c r="M3" i="5"/>
  <c r="J3" i="5"/>
  <c r="G3" i="5"/>
  <c r="D3" i="5"/>
  <c r="N3" i="5" s="1"/>
  <c r="C27" i="3"/>
  <c r="B27" i="3"/>
  <c r="D6" i="3"/>
  <c r="D5" i="3"/>
  <c r="D4" i="3"/>
  <c r="D3" i="3"/>
  <c r="B28" i="6" l="1"/>
  <c r="E28" i="6" s="1"/>
  <c r="B32" i="6"/>
  <c r="E32" i="6" s="1"/>
  <c r="B25" i="6"/>
  <c r="E25" i="6" s="1"/>
  <c r="B29" i="6"/>
  <c r="E29" i="6" s="1"/>
  <c r="D51" i="8"/>
  <c r="F51" i="8" l="1"/>
  <c r="D52" i="8"/>
</calcChain>
</file>

<file path=xl/sharedStrings.xml><?xml version="1.0" encoding="utf-8"?>
<sst xmlns="http://schemas.openxmlformats.org/spreadsheetml/2006/main" count="347" uniqueCount="125">
  <si>
    <t>Tahun</t>
  </si>
  <si>
    <t>Nilai PDRB</t>
  </si>
  <si>
    <t>Laju Pertumbuhan</t>
  </si>
  <si>
    <t>No.</t>
  </si>
  <si>
    <t>No</t>
  </si>
  <si>
    <t>Kabupaten</t>
  </si>
  <si>
    <t>Nilai Total PDRB 2017</t>
  </si>
  <si>
    <t>PDRB Jawa Timur</t>
  </si>
  <si>
    <t>Sidoarjo</t>
  </si>
  <si>
    <t>Pasuruan</t>
  </si>
  <si>
    <t>Gresik</t>
  </si>
  <si>
    <t>Bojonegoro</t>
  </si>
  <si>
    <t>Malang</t>
  </si>
  <si>
    <t>Mojokerto</t>
  </si>
  <si>
    <t>Banyuwangi</t>
  </si>
  <si>
    <t>Jember</t>
  </si>
  <si>
    <t>Tuban</t>
  </si>
  <si>
    <t>Kediri</t>
  </si>
  <si>
    <t>Jombang</t>
  </si>
  <si>
    <t>Lamongan</t>
  </si>
  <si>
    <t>Tulungagung</t>
  </si>
  <si>
    <t>Blitar</t>
  </si>
  <si>
    <t>Sumenep</t>
  </si>
  <si>
    <t>Probolinggo</t>
  </si>
  <si>
    <t>Lumajang</t>
  </si>
  <si>
    <t>Bangkalan</t>
  </si>
  <si>
    <t>Nganjuk</t>
  </si>
  <si>
    <t>Sampang</t>
  </si>
  <si>
    <t>Ponorogo</t>
  </si>
  <si>
    <t>Ngawi</t>
  </si>
  <si>
    <t>Bondowoso</t>
  </si>
  <si>
    <t>Situbondo</t>
  </si>
  <si>
    <t>Magetan</t>
  </si>
  <si>
    <t>Madiun</t>
  </si>
  <si>
    <t>Trenggalek</t>
  </si>
  <si>
    <t>Pamekasan</t>
  </si>
  <si>
    <t>Pacitan</t>
  </si>
  <si>
    <t>Investasi Lamongan</t>
  </si>
  <si>
    <t>Investasi Jawa Timur</t>
  </si>
  <si>
    <t>Pertumbuhan Investasi Lamongan</t>
  </si>
  <si>
    <t>Investasi Bangunan</t>
  </si>
  <si>
    <t>Investasi Non Bangunan</t>
  </si>
  <si>
    <t>PMA</t>
  </si>
  <si>
    <t>PMDN</t>
  </si>
  <si>
    <t>Total</t>
  </si>
  <si>
    <t>Realisasi PMDN Jawa Timur</t>
  </si>
  <si>
    <t>Sektor Ekonomi</t>
  </si>
  <si>
    <t>Nilai LQ 2013</t>
  </si>
  <si>
    <t>Nilai LQ 2014</t>
  </si>
  <si>
    <t>Nilai LQ 2015</t>
  </si>
  <si>
    <t>Nilai LQ 2016</t>
  </si>
  <si>
    <t>Rata-Rata Nilai LQ</t>
  </si>
  <si>
    <t>Pertumbuhan 2016</t>
  </si>
  <si>
    <t>Jawa Timur</t>
  </si>
  <si>
    <t>Pertanian, Kehutanan, dan Perikanan</t>
  </si>
  <si>
    <t>Pertambangan dan Penggalian</t>
  </si>
  <si>
    <t>Industri Pengolahan</t>
  </si>
  <si>
    <t>Pengadaan Listrik dan Gas</t>
  </si>
  <si>
    <t>Pengadaan Air, Pengelolaan Sampah, Limbah dan Daur Ulang</t>
  </si>
  <si>
    <t>Konstruksi</t>
  </si>
  <si>
    <t>Perdagangan Besar dan Eceran; Reparasi Mobil dan Sepeda Motor</t>
  </si>
  <si>
    <t>Transportasi dan Pergudangan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</si>
  <si>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</si>
  <si>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</si>
  <si>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</si>
  <si>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</si>
  <si>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</si>
  <si>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</si>
  <si>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</si>
  <si>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</si>
  <si>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</si>
  <si>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PDRB</t>
  </si>
  <si>
    <t>Distribusi Sektor Terhadap PDRB</t>
  </si>
  <si>
    <t>Nilai Investasi (rasio)</t>
  </si>
  <si>
    <t>Pertumuhan Per-sektor</t>
  </si>
  <si>
    <t>rata-rata</t>
  </si>
  <si>
    <t>Rata-rata</t>
  </si>
  <si>
    <t>Total Pengeluaran Investasi</t>
  </si>
  <si>
    <t>PDRB 2012</t>
  </si>
  <si>
    <t>Sektor Ekonomi Non Potensial</t>
  </si>
  <si>
    <t>Sektor Potensial Lamongan</t>
  </si>
  <si>
    <t>Output</t>
  </si>
  <si>
    <t>Investasi</t>
  </si>
  <si>
    <t>Koefisien ICOR 2013</t>
  </si>
  <si>
    <t>Koefisien ICOR 2014</t>
  </si>
  <si>
    <t>Koefisien ICOR 2015</t>
  </si>
  <si>
    <t>Koefisien ICOR 2016</t>
  </si>
  <si>
    <t>Rata-rata Nilai ICOR</t>
  </si>
  <si>
    <t>ICOR 2014</t>
  </si>
  <si>
    <t>ICOR 2015</t>
  </si>
  <si>
    <t>ICOR 2016</t>
  </si>
  <si>
    <t>Rata-rata Total</t>
  </si>
  <si>
    <t>PDRB 2016</t>
  </si>
  <si>
    <t>PDRB 2017 (1%)</t>
  </si>
  <si>
    <t>Kebutuhan Investasi 2017 (1%)</t>
  </si>
  <si>
    <t>PDRB 2020 (6.5%)</t>
  </si>
  <si>
    <t>Kebutuhan Investasi 2020 (6.5%)</t>
  </si>
  <si>
    <t>Kebutuhan Investasi 2020</t>
  </si>
  <si>
    <t>Nilai Icor Lamongan</t>
  </si>
  <si>
    <t>PDRB Kabupaten Lamongan</t>
  </si>
  <si>
    <t>Perubahan PDRB</t>
  </si>
  <si>
    <t>Rata-rata Pertumbuhan</t>
  </si>
  <si>
    <t>PDRB 2020</t>
  </si>
  <si>
    <t>ICOR</t>
  </si>
  <si>
    <t xml:space="preserve">Kekurangan </t>
  </si>
  <si>
    <t>Pertumbuhan (5.7%)</t>
  </si>
  <si>
    <t>Kriteria</t>
  </si>
  <si>
    <t>LQ &gt;1</t>
  </si>
  <si>
    <t>LQ &lt;= 1</t>
  </si>
  <si>
    <t>LQ</t>
  </si>
  <si>
    <t>Nilai ICOR &lt;=4</t>
  </si>
  <si>
    <t>Sektor Potensial Efisien</t>
  </si>
  <si>
    <t>Sektor Non Potensial Efisien</t>
  </si>
  <si>
    <t>Nilai ICOR &gt;4</t>
  </si>
  <si>
    <t>Sektor Potensial Tidak Efisein</t>
  </si>
  <si>
    <t>Sektor Non Potensial Tidak Efisien</t>
  </si>
  <si>
    <t>Pengadaan Air, Pengelolaan Samapah, Limbah dan Daur Ulang</t>
  </si>
  <si>
    <t>Perdagangan Besar dan Eceran;Reparasi Mobil dan Sepedah Motor</t>
  </si>
  <si>
    <t>real estate</t>
  </si>
  <si>
    <t>Administrasi Pemerintahan, Pertahanan, dan Jaminan Sosial Wajib</t>
  </si>
  <si>
    <t>Output 2020</t>
  </si>
  <si>
    <t>Pertumbuhan Output</t>
  </si>
  <si>
    <t>Investasi 2020</t>
  </si>
  <si>
    <t>TOTAL</t>
  </si>
  <si>
    <t>PDRB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</si>
</sst>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333333"/>
      <name val="Verdana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548DD4"/>
        <bgColor rgb="FF548DD4"/>
      </patternFill>
    </fill>
    <fill>
      <patternFill patternType="solid">
        <fgColor rgb="FFD8D8D8"/>
        <bgColor rgb="FFD8D8D8"/>
      </patternFill>
    </fill>
    <fill>
      <patternFill patternType="solid">
        <fgColor rgb="FFF6F6F6"/>
        <bgColor rgb="FFF6F6F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0" fontId="3" fillId="5" borderId="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2" fontId="3" fillId="0" borderId="1" xfId="0" applyNumberFormat="1" applyFont="1" applyBorder="1"/>
    <xf numFmtId="0" fontId="3" fillId="4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right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165" fontId="0" fillId="0" borderId="1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4" fillId="0" borderId="6" xfId="0" applyFont="1" applyBorder="1"/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4" fillId="0" borderId="8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Pertumbuhan Ekonomi Kabupaten Lamongan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PDRB!$A$3:$A$6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PDRB!$C$3:$C$6</c:f>
              <c:numCache>
                <c:formatCode>General</c:formatCode>
                <c:ptCount val="4"/>
                <c:pt idx="0">
                  <c:v>6.3</c:v>
                </c:pt>
                <c:pt idx="1">
                  <c:v>5.77</c:v>
                </c:pt>
                <c:pt idx="2">
                  <c:v>5.86</c:v>
                </c:pt>
                <c:pt idx="3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0-4C24-B313-FE5C690E5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368196"/>
        <c:axId val="1034121360"/>
      </c:lineChart>
      <c:catAx>
        <c:axId val="113736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4121360"/>
        <c:crosses val="autoZero"/>
        <c:auto val="1"/>
        <c:lblAlgn val="ctr"/>
        <c:lblOffset val="100"/>
        <c:noMultiLvlLbl val="1"/>
      </c:catAx>
      <c:valAx>
        <c:axId val="1034121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73681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PDRB Kabupaten lamongan Tahun 2013-2017 Atas Dasar Harga Kontan 2010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PDRB!$A$2:$A$6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PDRB!$B$2:$B$6</c:f>
              <c:numCache>
                <c:formatCode>General</c:formatCode>
                <c:ptCount val="5"/>
                <c:pt idx="0">
                  <c:v>19848.84</c:v>
                </c:pt>
                <c:pt idx="1">
                  <c:v>21099.94</c:v>
                </c:pt>
                <c:pt idx="2">
                  <c:v>22316.880000000001</c:v>
                </c:pt>
                <c:pt idx="3">
                  <c:v>23623.79</c:v>
                </c:pt>
                <c:pt idx="4">
                  <c:v>24927.95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20-4262-996B-42DB0F8F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653477"/>
        <c:axId val="2049051621"/>
      </c:barChart>
      <c:catAx>
        <c:axId val="1758653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051621"/>
        <c:crosses val="autoZero"/>
        <c:auto val="1"/>
        <c:lblAlgn val="ctr"/>
        <c:lblOffset val="100"/>
        <c:noMultiLvlLbl val="1"/>
      </c:catAx>
      <c:valAx>
        <c:axId val="20490516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865347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Nilai Investasi Kabupaten Lamongan Tahun 2014-2017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Nilai Investasi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Investasi!$A$3:$A$6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Investasi!$B$3:$B$6</c:f>
              <c:numCache>
                <c:formatCode>General</c:formatCode>
                <c:ptCount val="4"/>
                <c:pt idx="0">
                  <c:v>6512.54</c:v>
                </c:pt>
                <c:pt idx="1">
                  <c:v>6924.84</c:v>
                </c:pt>
                <c:pt idx="2">
                  <c:v>7455.61</c:v>
                </c:pt>
                <c:pt idx="3">
                  <c:v>7962.08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FF-4CCD-A89E-714A49C81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679935"/>
        <c:axId val="1698245494"/>
      </c:barChart>
      <c:catAx>
        <c:axId val="192767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8245494"/>
        <c:crosses val="autoZero"/>
        <c:auto val="1"/>
        <c:lblAlgn val="ctr"/>
        <c:lblOffset val="100"/>
        <c:noMultiLvlLbl val="1"/>
      </c:catAx>
      <c:valAx>
        <c:axId val="16982454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767993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Pertumbuhan Investasi Kabupaten Lamongan ADHK 2010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Investasi!$A$2:$A$6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Investasi!$D$2:$D$6</c:f>
              <c:numCache>
                <c:formatCode>0.00%</c:formatCode>
                <c:ptCount val="5"/>
                <c:pt idx="0">
                  <c:v>7.3899999999999993E-2</c:v>
                </c:pt>
                <c:pt idx="1">
                  <c:v>2.6542562833476564E-2</c:v>
                </c:pt>
                <c:pt idx="2">
                  <c:v>6.3308632269437143E-2</c:v>
                </c:pt>
                <c:pt idx="3">
                  <c:v>7.6647258276003424E-2</c:v>
                </c:pt>
                <c:pt idx="4">
                  <c:v>6.7931396626164764E-2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9-42EB-849F-C693E55B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0628"/>
        <c:axId val="714250166"/>
      </c:lineChart>
      <c:catAx>
        <c:axId val="16510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4250166"/>
        <c:crosses val="autoZero"/>
        <c:auto val="1"/>
        <c:lblAlgn val="ctr"/>
        <c:lblOffset val="100"/>
        <c:noMultiLvlLbl val="1"/>
      </c:catAx>
      <c:valAx>
        <c:axId val="7142501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06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Pertumbuhan PMTB Sub Komponen Bangunan dan Non Bangunan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Bangunan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Investasi!$A$11:$A$15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Investasi!$B$11:$B$15</c:f>
              <c:numCache>
                <c:formatCode>0.00</c:formatCode>
                <c:ptCount val="5"/>
                <c:pt idx="0">
                  <c:v>8.0500000000000007</c:v>
                </c:pt>
                <c:pt idx="1">
                  <c:v>2.54</c:v>
                </c:pt>
                <c:pt idx="2">
                  <c:v>6.72</c:v>
                </c:pt>
                <c:pt idx="3">
                  <c:v>8.0399999999999991</c:v>
                </c:pt>
                <c:pt idx="4">
                  <c:v>6.92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D4-48E1-B40C-79E16222B38A}"/>
            </c:ext>
          </c:extLst>
        </c:ser>
        <c:ser>
          <c:idx val="1"/>
          <c:order val="1"/>
          <c:tx>
            <c:v>Non Bangunan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Investasi!$A$11:$A$15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Investasi!$C$11:$C$15</c:f>
              <c:numCache>
                <c:formatCode>General</c:formatCode>
                <c:ptCount val="5"/>
                <c:pt idx="0">
                  <c:v>2.9</c:v>
                </c:pt>
                <c:pt idx="1">
                  <c:v>3.44</c:v>
                </c:pt>
                <c:pt idx="2">
                  <c:v>3.57</c:v>
                </c:pt>
                <c:pt idx="3">
                  <c:v>4.88</c:v>
                </c:pt>
                <c:pt idx="4">
                  <c:v>5.82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D4-48E1-B40C-79E16222B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509020"/>
        <c:axId val="1119084606"/>
      </c:barChart>
      <c:catAx>
        <c:axId val="990509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9084606"/>
        <c:crosses val="autoZero"/>
        <c:auto val="1"/>
        <c:lblAlgn val="ctr"/>
        <c:lblOffset val="100"/>
        <c:noMultiLvlLbl val="1"/>
      </c:catAx>
      <c:valAx>
        <c:axId val="111908460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050902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8</xdr:row>
      <xdr:rowOff>85725</xdr:rowOff>
    </xdr:from>
    <xdr:ext cx="3905250" cy="2876550"/>
    <xdr:graphicFrame macro="">
      <xdr:nvGraphicFramePr>
        <xdr:cNvPr id="172231494" name="Chart 1">
          <a:extLst>
            <a:ext uri="{FF2B5EF4-FFF2-40B4-BE49-F238E27FC236}">
              <a16:creationId xmlns:a16="http://schemas.microsoft.com/office/drawing/2014/main" id="{00000000-0008-0000-0000-0000460B4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95250</xdr:colOff>
      <xdr:row>0</xdr:row>
      <xdr:rowOff>142875</xdr:rowOff>
    </xdr:from>
    <xdr:ext cx="3943350" cy="2886075"/>
    <xdr:graphicFrame macro="">
      <xdr:nvGraphicFramePr>
        <xdr:cNvPr id="934112388" name="Chart 2">
          <a:extLst>
            <a:ext uri="{FF2B5EF4-FFF2-40B4-BE49-F238E27FC236}">
              <a16:creationId xmlns:a16="http://schemas.microsoft.com/office/drawing/2014/main" id="{00000000-0008-0000-0000-0000846C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209550</xdr:colOff>
      <xdr:row>3</xdr:row>
      <xdr:rowOff>76200</xdr:rowOff>
    </xdr:from>
    <xdr:ext cx="3943350" cy="2876550"/>
    <xdr:graphicFrame macro="">
      <xdr:nvGraphicFramePr>
        <xdr:cNvPr id="1867490306" name="Chart 3">
          <a:extLst>
            <a:ext uri="{FF2B5EF4-FFF2-40B4-BE49-F238E27FC236}">
              <a16:creationId xmlns:a16="http://schemas.microsoft.com/office/drawing/2014/main" id="{00000000-0008-0000-0200-000002A44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8</xdr:row>
      <xdr:rowOff>76200</xdr:rowOff>
    </xdr:from>
    <xdr:ext cx="3790950" cy="2886075"/>
    <xdr:graphicFrame macro="">
      <xdr:nvGraphicFramePr>
        <xdr:cNvPr id="1289433078" name="Chart 4" title="Diagram">
          <a:extLst>
            <a:ext uri="{FF2B5EF4-FFF2-40B4-BE49-F238E27FC236}">
              <a16:creationId xmlns:a16="http://schemas.microsoft.com/office/drawing/2014/main" id="{00000000-0008-0000-0200-0000F62FD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76200</xdr:colOff>
      <xdr:row>6</xdr:row>
      <xdr:rowOff>76200</xdr:rowOff>
    </xdr:from>
    <xdr:ext cx="3924300" cy="2876550"/>
    <xdr:graphicFrame macro="">
      <xdr:nvGraphicFramePr>
        <xdr:cNvPr id="2035528772" name="Chart 5" title="Diagram">
          <a:extLst>
            <a:ext uri="{FF2B5EF4-FFF2-40B4-BE49-F238E27FC236}">
              <a16:creationId xmlns:a16="http://schemas.microsoft.com/office/drawing/2014/main" id="{00000000-0008-0000-0200-000044B4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2" sqref="B2"/>
    </sheetView>
  </sheetViews>
  <sheetFormatPr defaultColWidth="14.453125" defaultRowHeight="15" customHeight="1" x14ac:dyDescent="0.35"/>
  <cols>
    <col min="1" max="2" width="8.7265625" customWidth="1"/>
    <col min="3" max="3" width="15" customWidth="1"/>
    <col min="4" max="26" width="8.7265625" customWidth="1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1">
        <v>2013</v>
      </c>
      <c r="B2" s="1">
        <v>19848.84</v>
      </c>
    </row>
    <row r="3" spans="1:3" ht="14.5" x14ac:dyDescent="0.35">
      <c r="A3" s="1">
        <v>2014</v>
      </c>
      <c r="B3" s="1">
        <v>21099.94</v>
      </c>
      <c r="C3" s="1">
        <v>6.3</v>
      </c>
    </row>
    <row r="4" spans="1:3" ht="14.5" x14ac:dyDescent="0.35">
      <c r="A4" s="1">
        <v>2015</v>
      </c>
      <c r="B4" s="1">
        <v>22316.880000000001</v>
      </c>
      <c r="C4" s="1">
        <v>5.77</v>
      </c>
    </row>
    <row r="5" spans="1:3" ht="14.5" x14ac:dyDescent="0.35">
      <c r="A5" s="1">
        <v>2016</v>
      </c>
      <c r="B5" s="1">
        <v>23623.79</v>
      </c>
      <c r="C5" s="1">
        <v>5.86</v>
      </c>
    </row>
    <row r="6" spans="1:3" ht="14.5" x14ac:dyDescent="0.35">
      <c r="A6" s="1">
        <v>2017</v>
      </c>
      <c r="B6" s="1">
        <v>24927.95</v>
      </c>
      <c r="C6" s="1">
        <v>5.52</v>
      </c>
    </row>
    <row r="7" spans="1:3" ht="14.5" x14ac:dyDescent="0.35">
      <c r="A7" s="1">
        <v>2018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53125" defaultRowHeight="15" customHeight="1" x14ac:dyDescent="0.35"/>
  <cols>
    <col min="1" max="1" width="4.08984375" customWidth="1"/>
    <col min="2" max="2" width="3.54296875" customWidth="1"/>
    <col min="3" max="3" width="12" customWidth="1"/>
    <col min="4" max="4" width="19.453125" customWidth="1"/>
    <col min="5" max="5" width="15.81640625" customWidth="1"/>
    <col min="6" max="7" width="9.81640625" customWidth="1"/>
    <col min="8" max="9" width="10.81640625" customWidth="1"/>
    <col min="10" max="26" width="8.7265625" customWidth="1"/>
  </cols>
  <sheetData>
    <row r="1" spans="1:9" ht="14.5" x14ac:dyDescent="0.35">
      <c r="A1" s="1" t="s">
        <v>3</v>
      </c>
      <c r="B1" s="2" t="s">
        <v>4</v>
      </c>
      <c r="C1" s="2" t="s">
        <v>5</v>
      </c>
      <c r="D1" s="2" t="s">
        <v>6</v>
      </c>
      <c r="E1" s="1" t="s">
        <v>7</v>
      </c>
      <c r="F1" s="1">
        <v>2014</v>
      </c>
      <c r="G1" s="1">
        <v>2015</v>
      </c>
      <c r="H1" s="1">
        <v>2016</v>
      </c>
      <c r="I1" s="1">
        <v>2017</v>
      </c>
    </row>
    <row r="2" spans="1:9" ht="14.5" x14ac:dyDescent="0.35">
      <c r="A2" s="1">
        <v>15</v>
      </c>
      <c r="B2" s="2">
        <v>1</v>
      </c>
      <c r="C2" s="2" t="s">
        <v>8</v>
      </c>
      <c r="D2" s="3">
        <v>125039.06</v>
      </c>
      <c r="F2" s="1">
        <v>1262684.5</v>
      </c>
      <c r="G2" s="1">
        <v>1331376.1000000001</v>
      </c>
      <c r="H2" s="1">
        <v>1405561.04</v>
      </c>
      <c r="I2" s="1">
        <v>1482147.59</v>
      </c>
    </row>
    <row r="3" spans="1:9" ht="14.5" x14ac:dyDescent="0.35">
      <c r="A3" s="1">
        <v>14</v>
      </c>
      <c r="B3" s="2">
        <v>2</v>
      </c>
      <c r="C3" s="2" t="s">
        <v>9</v>
      </c>
      <c r="D3" s="3">
        <v>94101.98</v>
      </c>
    </row>
    <row r="4" spans="1:9" ht="14.5" x14ac:dyDescent="0.35">
      <c r="A4" s="1">
        <v>25</v>
      </c>
      <c r="B4" s="2">
        <v>3</v>
      </c>
      <c r="C4" s="2" t="s">
        <v>10</v>
      </c>
      <c r="D4" s="3">
        <v>90855.6</v>
      </c>
    </row>
    <row r="5" spans="1:9" ht="14.5" x14ac:dyDescent="0.35">
      <c r="A5" s="1">
        <v>22</v>
      </c>
      <c r="B5" s="2">
        <v>4</v>
      </c>
      <c r="C5" s="2" t="s">
        <v>11</v>
      </c>
      <c r="D5" s="3">
        <v>63056.47</v>
      </c>
      <c r="I5" s="4"/>
    </row>
    <row r="6" spans="1:9" ht="14.5" x14ac:dyDescent="0.35">
      <c r="A6" s="1">
        <v>7</v>
      </c>
      <c r="B6" s="2">
        <v>5</v>
      </c>
      <c r="C6" s="2" t="s">
        <v>12</v>
      </c>
      <c r="D6" s="3">
        <v>61408.93</v>
      </c>
    </row>
    <row r="7" spans="1:9" ht="14.5" x14ac:dyDescent="0.35">
      <c r="A7" s="1">
        <v>16</v>
      </c>
      <c r="B7" s="2">
        <v>6</v>
      </c>
      <c r="C7" s="2" t="s">
        <v>13</v>
      </c>
      <c r="D7" s="3">
        <v>52192.83</v>
      </c>
    </row>
    <row r="8" spans="1:9" ht="14.5" x14ac:dyDescent="0.35">
      <c r="A8" s="1">
        <v>10</v>
      </c>
      <c r="B8" s="2">
        <v>7</v>
      </c>
      <c r="C8" s="2" t="s">
        <v>14</v>
      </c>
      <c r="D8" s="3">
        <v>49480.44</v>
      </c>
    </row>
    <row r="9" spans="1:9" ht="14.5" x14ac:dyDescent="0.35">
      <c r="A9" s="1">
        <v>9</v>
      </c>
      <c r="B9" s="2">
        <v>8</v>
      </c>
      <c r="C9" s="2" t="s">
        <v>15</v>
      </c>
      <c r="D9" s="3">
        <v>48912.959999999999</v>
      </c>
    </row>
    <row r="10" spans="1:9" ht="14.5" x14ac:dyDescent="0.35">
      <c r="A10" s="1">
        <v>23</v>
      </c>
      <c r="B10" s="2">
        <v>9</v>
      </c>
      <c r="C10" s="2" t="s">
        <v>16</v>
      </c>
      <c r="D10" s="3">
        <v>41037.71</v>
      </c>
    </row>
    <row r="11" spans="1:9" ht="14.5" x14ac:dyDescent="0.35">
      <c r="A11" s="1">
        <v>6</v>
      </c>
      <c r="B11" s="2">
        <v>10</v>
      </c>
      <c r="C11" s="2" t="s">
        <v>17</v>
      </c>
      <c r="D11" s="3">
        <v>26446.17</v>
      </c>
    </row>
    <row r="12" spans="1:9" ht="14.5" x14ac:dyDescent="0.35">
      <c r="A12" s="1">
        <v>17</v>
      </c>
      <c r="B12" s="2">
        <v>11</v>
      </c>
      <c r="C12" s="2" t="s">
        <v>18</v>
      </c>
      <c r="D12" s="3">
        <v>25497</v>
      </c>
    </row>
    <row r="13" spans="1:9" ht="14.5" x14ac:dyDescent="0.35">
      <c r="A13" s="1">
        <v>24</v>
      </c>
      <c r="B13" s="2">
        <v>12</v>
      </c>
      <c r="C13" s="2" t="s">
        <v>19</v>
      </c>
      <c r="D13" s="3">
        <v>24927.95</v>
      </c>
    </row>
    <row r="14" spans="1:9" ht="14.5" x14ac:dyDescent="0.35">
      <c r="A14" s="1">
        <v>4</v>
      </c>
      <c r="B14" s="2">
        <v>13</v>
      </c>
      <c r="C14" s="2" t="s">
        <v>20</v>
      </c>
      <c r="D14" s="3">
        <v>24637.360000000001</v>
      </c>
    </row>
    <row r="15" spans="1:9" ht="14.5" x14ac:dyDescent="0.35">
      <c r="A15" s="1">
        <v>5</v>
      </c>
      <c r="B15" s="2">
        <v>14</v>
      </c>
      <c r="C15" s="2" t="s">
        <v>21</v>
      </c>
      <c r="D15" s="3">
        <v>23107.48</v>
      </c>
    </row>
    <row r="16" spans="1:9" ht="14.5" x14ac:dyDescent="0.35">
      <c r="A16" s="1">
        <v>29</v>
      </c>
      <c r="B16" s="2">
        <v>15</v>
      </c>
      <c r="C16" s="2" t="s">
        <v>22</v>
      </c>
      <c r="D16" s="3">
        <v>22949.7</v>
      </c>
    </row>
    <row r="17" spans="1:4" ht="14.5" x14ac:dyDescent="0.35">
      <c r="A17" s="1">
        <v>13</v>
      </c>
      <c r="B17" s="2">
        <v>16</v>
      </c>
      <c r="C17" s="2" t="s">
        <v>23</v>
      </c>
      <c r="D17" s="3">
        <v>21418.25</v>
      </c>
    </row>
    <row r="18" spans="1:4" ht="14.5" x14ac:dyDescent="0.35">
      <c r="A18" s="1">
        <v>8</v>
      </c>
      <c r="B18" s="2">
        <v>17</v>
      </c>
      <c r="C18" s="2" t="s">
        <v>24</v>
      </c>
      <c r="D18" s="3">
        <v>20542.93</v>
      </c>
    </row>
    <row r="19" spans="1:4" ht="14.5" x14ac:dyDescent="0.35">
      <c r="A19" s="1">
        <v>26</v>
      </c>
      <c r="B19" s="2">
        <v>18</v>
      </c>
      <c r="C19" s="2" t="s">
        <v>25</v>
      </c>
      <c r="D19" s="3">
        <v>17618.599999999999</v>
      </c>
    </row>
    <row r="20" spans="1:4" ht="14.5" x14ac:dyDescent="0.35">
      <c r="A20" s="1">
        <v>18</v>
      </c>
      <c r="B20" s="2">
        <v>19</v>
      </c>
      <c r="C20" s="2" t="s">
        <v>26</v>
      </c>
      <c r="D20" s="3">
        <v>16485.62</v>
      </c>
    </row>
    <row r="21" spans="1:4" ht="15.75" customHeight="1" x14ac:dyDescent="0.35">
      <c r="A21" s="1">
        <v>27</v>
      </c>
      <c r="B21" s="2">
        <v>20</v>
      </c>
      <c r="C21" s="2" t="s">
        <v>27</v>
      </c>
      <c r="D21" s="3">
        <v>13197.67</v>
      </c>
    </row>
    <row r="22" spans="1:4" ht="15.75" customHeight="1" x14ac:dyDescent="0.35">
      <c r="A22" s="1">
        <v>2</v>
      </c>
      <c r="B22" s="2">
        <v>21</v>
      </c>
      <c r="C22" s="2" t="s">
        <v>28</v>
      </c>
      <c r="D22" s="3">
        <v>12933.45</v>
      </c>
    </row>
    <row r="23" spans="1:4" ht="15.75" customHeight="1" x14ac:dyDescent="0.35">
      <c r="A23" s="1">
        <v>21</v>
      </c>
      <c r="B23" s="2">
        <v>22</v>
      </c>
      <c r="C23" s="2" t="s">
        <v>29</v>
      </c>
      <c r="D23" s="3">
        <v>12406.43</v>
      </c>
    </row>
    <row r="24" spans="1:4" ht="15.75" customHeight="1" x14ac:dyDescent="0.35">
      <c r="A24" s="1">
        <v>11</v>
      </c>
      <c r="B24" s="2">
        <v>23</v>
      </c>
      <c r="C24" s="2" t="s">
        <v>30</v>
      </c>
      <c r="D24" s="3">
        <v>12325.66</v>
      </c>
    </row>
    <row r="25" spans="1:4" ht="15.75" customHeight="1" x14ac:dyDescent="0.35">
      <c r="A25" s="1">
        <v>12</v>
      </c>
      <c r="B25" s="2">
        <v>24</v>
      </c>
      <c r="C25" s="2" t="s">
        <v>31</v>
      </c>
      <c r="D25" s="3">
        <v>12230.46</v>
      </c>
    </row>
    <row r="26" spans="1:4" ht="15.75" customHeight="1" x14ac:dyDescent="0.35">
      <c r="A26" s="1">
        <v>20</v>
      </c>
      <c r="B26" s="2">
        <v>25</v>
      </c>
      <c r="C26" s="2" t="s">
        <v>32</v>
      </c>
      <c r="D26" s="3">
        <v>11978.06</v>
      </c>
    </row>
    <row r="27" spans="1:4" ht="15.75" customHeight="1" x14ac:dyDescent="0.35">
      <c r="A27" s="1">
        <v>19</v>
      </c>
      <c r="B27" s="2">
        <v>26</v>
      </c>
      <c r="C27" s="2" t="s">
        <v>33</v>
      </c>
      <c r="D27" s="3">
        <v>11879.34</v>
      </c>
    </row>
    <row r="28" spans="1:4" ht="15.75" customHeight="1" x14ac:dyDescent="0.35">
      <c r="A28" s="1">
        <v>3</v>
      </c>
      <c r="B28" s="2">
        <v>27</v>
      </c>
      <c r="C28" s="2" t="s">
        <v>34</v>
      </c>
      <c r="D28" s="3">
        <v>11579.86</v>
      </c>
    </row>
    <row r="29" spans="1:4" ht="15.75" customHeight="1" x14ac:dyDescent="0.35">
      <c r="A29" s="1">
        <v>28</v>
      </c>
      <c r="B29" s="2">
        <v>28</v>
      </c>
      <c r="C29" s="2" t="s">
        <v>35</v>
      </c>
      <c r="D29" s="3">
        <v>10310.24</v>
      </c>
    </row>
    <row r="30" spans="1:4" ht="15.75" customHeight="1" x14ac:dyDescent="0.35">
      <c r="A30" s="1">
        <v>1</v>
      </c>
      <c r="B30" s="2">
        <v>29</v>
      </c>
      <c r="C30" s="2" t="s">
        <v>36</v>
      </c>
      <c r="D30" s="3">
        <v>9962.5</v>
      </c>
    </row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A22" workbookViewId="0">
      <selection activeCell="D39" sqref="D39"/>
    </sheetView>
  </sheetViews>
  <sheetFormatPr defaultColWidth="14.453125" defaultRowHeight="15" customHeight="1" x14ac:dyDescent="0.35"/>
  <cols>
    <col min="1" max="1" width="8.7265625" customWidth="1"/>
    <col min="2" max="2" width="15.81640625" customWidth="1"/>
    <col min="3" max="3" width="19.453125" customWidth="1"/>
    <col min="4" max="4" width="27.08984375" customWidth="1"/>
    <col min="5" max="26" width="8.7265625" customWidth="1"/>
  </cols>
  <sheetData>
    <row r="1" spans="1:4" ht="14.5" x14ac:dyDescent="0.35">
      <c r="A1" s="1" t="s">
        <v>0</v>
      </c>
      <c r="B1" s="1" t="s">
        <v>37</v>
      </c>
      <c r="C1" s="1" t="s">
        <v>38</v>
      </c>
      <c r="D1" s="1" t="s">
        <v>39</v>
      </c>
    </row>
    <row r="2" spans="1:4" ht="14.5" x14ac:dyDescent="0.35">
      <c r="A2" s="1">
        <v>2013</v>
      </c>
      <c r="B2" s="1">
        <v>6344.15</v>
      </c>
      <c r="D2" s="5">
        <v>7.3899999999999993E-2</v>
      </c>
    </row>
    <row r="3" spans="1:4" ht="14.5" x14ac:dyDescent="0.35">
      <c r="A3" s="1">
        <v>2014</v>
      </c>
      <c r="B3" s="1">
        <v>6512.54</v>
      </c>
      <c r="C3" s="1">
        <v>344715.56</v>
      </c>
      <c r="D3" s="5">
        <f t="shared" ref="D3:D6" si="0">(B3-B2)/B2</f>
        <v>2.6542562833476564E-2</v>
      </c>
    </row>
    <row r="4" spans="1:4" ht="14.5" x14ac:dyDescent="0.35">
      <c r="A4" s="1">
        <v>2015</v>
      </c>
      <c r="B4" s="1">
        <v>6924.84</v>
      </c>
      <c r="C4" s="1">
        <v>364831.01</v>
      </c>
      <c r="D4" s="5">
        <f t="shared" si="0"/>
        <v>6.3308632269437143E-2</v>
      </c>
    </row>
    <row r="5" spans="1:4" ht="14.5" x14ac:dyDescent="0.35">
      <c r="A5" s="1">
        <v>2016</v>
      </c>
      <c r="B5" s="1">
        <v>7455.61</v>
      </c>
      <c r="C5" s="1">
        <v>386846</v>
      </c>
      <c r="D5" s="5">
        <f t="shared" si="0"/>
        <v>7.6647258276003424E-2</v>
      </c>
    </row>
    <row r="6" spans="1:4" ht="14.5" x14ac:dyDescent="0.35">
      <c r="A6" s="1">
        <v>2017</v>
      </c>
      <c r="B6" s="1">
        <v>7962.08</v>
      </c>
      <c r="C6" s="1">
        <v>410312.66</v>
      </c>
      <c r="D6" s="5">
        <f t="shared" si="0"/>
        <v>6.7931396626164764E-2</v>
      </c>
    </row>
    <row r="10" spans="1:4" ht="14.5" x14ac:dyDescent="0.35">
      <c r="A10" s="1" t="s">
        <v>0</v>
      </c>
      <c r="B10" s="6" t="s">
        <v>40</v>
      </c>
      <c r="C10" s="1" t="s">
        <v>41</v>
      </c>
    </row>
    <row r="11" spans="1:4" ht="14.5" x14ac:dyDescent="0.35">
      <c r="A11" s="1">
        <v>2013</v>
      </c>
      <c r="B11" s="6">
        <v>8.0500000000000007</v>
      </c>
      <c r="C11" s="1">
        <v>2.9</v>
      </c>
    </row>
    <row r="12" spans="1:4" ht="14.5" x14ac:dyDescent="0.35">
      <c r="A12" s="1">
        <v>2014</v>
      </c>
      <c r="B12" s="6">
        <v>2.54</v>
      </c>
      <c r="C12" s="1">
        <v>3.44</v>
      </c>
    </row>
    <row r="13" spans="1:4" ht="14.5" x14ac:dyDescent="0.35">
      <c r="A13" s="1">
        <v>2015</v>
      </c>
      <c r="B13" s="6">
        <v>6.72</v>
      </c>
      <c r="C13" s="1">
        <v>3.57</v>
      </c>
    </row>
    <row r="14" spans="1:4" ht="14.5" x14ac:dyDescent="0.35">
      <c r="A14" s="1">
        <v>2016</v>
      </c>
      <c r="B14" s="6">
        <v>8.0399999999999991</v>
      </c>
      <c r="C14" s="1">
        <v>4.88</v>
      </c>
    </row>
    <row r="15" spans="1:4" ht="14.5" x14ac:dyDescent="0.35">
      <c r="A15" s="1">
        <v>2017</v>
      </c>
      <c r="B15" s="6">
        <v>6.92</v>
      </c>
      <c r="C15" s="1">
        <v>5.82</v>
      </c>
    </row>
    <row r="21" spans="1:3" ht="15.75" customHeight="1" x14ac:dyDescent="0.35"/>
    <row r="22" spans="1:3" ht="15.75" customHeight="1" x14ac:dyDescent="0.35">
      <c r="A22" s="7" t="s">
        <v>0</v>
      </c>
      <c r="B22" s="7" t="s">
        <v>42</v>
      </c>
      <c r="C22" s="7" t="s">
        <v>43</v>
      </c>
    </row>
    <row r="23" spans="1:3" ht="15.75" customHeight="1" x14ac:dyDescent="0.35">
      <c r="A23" s="2">
        <v>2013</v>
      </c>
      <c r="B23" s="2">
        <v>60000</v>
      </c>
      <c r="C23" s="2">
        <v>146385</v>
      </c>
    </row>
    <row r="24" spans="1:3" ht="15.75" customHeight="1" x14ac:dyDescent="0.35">
      <c r="A24" s="2">
        <v>2014</v>
      </c>
      <c r="B24" s="2">
        <v>2502500</v>
      </c>
      <c r="C24" s="2">
        <v>261650</v>
      </c>
    </row>
    <row r="25" spans="1:3" ht="15.75" customHeight="1" x14ac:dyDescent="0.35">
      <c r="A25" s="2">
        <v>2015</v>
      </c>
      <c r="B25" s="2">
        <v>1938886</v>
      </c>
      <c r="C25" s="2">
        <v>374133</v>
      </c>
    </row>
    <row r="26" spans="1:3" ht="15.75" customHeight="1" x14ac:dyDescent="0.35">
      <c r="A26" s="2">
        <v>2016</v>
      </c>
      <c r="B26" s="2">
        <v>5552097</v>
      </c>
      <c r="C26" s="2">
        <v>158156</v>
      </c>
    </row>
    <row r="27" spans="1:3" ht="15.75" customHeight="1" x14ac:dyDescent="0.35">
      <c r="A27" s="8" t="s">
        <v>44</v>
      </c>
      <c r="B27" s="8">
        <f t="shared" ref="B27:C27" si="1">SUM(B23:B26)</f>
        <v>10053483</v>
      </c>
      <c r="C27" s="8">
        <f t="shared" si="1"/>
        <v>940324</v>
      </c>
    </row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H19" sqref="H18:H19"/>
    </sheetView>
  </sheetViews>
  <sheetFormatPr defaultColWidth="14.453125" defaultRowHeight="15" customHeight="1" x14ac:dyDescent="0.35"/>
  <cols>
    <col min="1" max="1" width="3.54296875" customWidth="1"/>
    <col min="2" max="2" width="10.54296875" customWidth="1"/>
    <col min="3" max="3" width="21.7265625" customWidth="1"/>
    <col min="4" max="26" width="8.7265625" customWidth="1"/>
  </cols>
  <sheetData>
    <row r="1" spans="1:3" ht="14.5" x14ac:dyDescent="0.35">
      <c r="A1" s="2" t="s">
        <v>3</v>
      </c>
      <c r="B1" s="2" t="s">
        <v>5</v>
      </c>
      <c r="C1" s="2" t="s">
        <v>45</v>
      </c>
    </row>
    <row r="2" spans="1:3" ht="14.5" x14ac:dyDescent="0.35">
      <c r="A2" s="2">
        <v>1</v>
      </c>
      <c r="B2" s="2" t="s">
        <v>8</v>
      </c>
      <c r="C2" s="2">
        <v>16.13</v>
      </c>
    </row>
    <row r="3" spans="1:3" ht="14.5" x14ac:dyDescent="0.35">
      <c r="A3" s="2">
        <v>2</v>
      </c>
      <c r="B3" s="2" t="s">
        <v>30</v>
      </c>
      <c r="C3" s="2">
        <v>3.14</v>
      </c>
    </row>
    <row r="4" spans="1:3" ht="14.5" x14ac:dyDescent="0.35">
      <c r="A4" s="2">
        <v>3</v>
      </c>
      <c r="B4" s="2" t="s">
        <v>22</v>
      </c>
      <c r="C4" s="2">
        <v>2.09</v>
      </c>
    </row>
    <row r="5" spans="1:3" ht="14.5" x14ac:dyDescent="0.35">
      <c r="A5" s="2">
        <v>4</v>
      </c>
      <c r="B5" s="2" t="s">
        <v>15</v>
      </c>
      <c r="C5" s="2">
        <v>2.02</v>
      </c>
    </row>
    <row r="6" spans="1:3" ht="14.5" x14ac:dyDescent="0.35">
      <c r="A6" s="2">
        <v>5</v>
      </c>
      <c r="B6" s="2" t="s">
        <v>14</v>
      </c>
      <c r="C6" s="2">
        <v>1.44</v>
      </c>
    </row>
    <row r="7" spans="1:3" ht="14.5" x14ac:dyDescent="0.35">
      <c r="A7" s="2">
        <v>6</v>
      </c>
      <c r="B7" s="2" t="s">
        <v>13</v>
      </c>
      <c r="C7" s="2">
        <v>1.34</v>
      </c>
    </row>
    <row r="8" spans="1:3" ht="14.5" x14ac:dyDescent="0.35">
      <c r="A8" s="2">
        <v>7</v>
      </c>
      <c r="B8" s="2" t="s">
        <v>9</v>
      </c>
      <c r="C8" s="2">
        <v>1.22</v>
      </c>
    </row>
    <row r="9" spans="1:3" ht="14.5" x14ac:dyDescent="0.35">
      <c r="A9" s="2">
        <v>8</v>
      </c>
      <c r="B9" s="2" t="s">
        <v>12</v>
      </c>
      <c r="C9" s="2">
        <v>1.1599999999999999</v>
      </c>
    </row>
    <row r="10" spans="1:3" ht="14.5" x14ac:dyDescent="0.35">
      <c r="A10" s="2">
        <v>9</v>
      </c>
      <c r="B10" s="2" t="s">
        <v>20</v>
      </c>
      <c r="C10" s="2">
        <v>0.73</v>
      </c>
    </row>
    <row r="11" spans="1:3" ht="14.5" x14ac:dyDescent="0.35">
      <c r="A11" s="2">
        <v>10</v>
      </c>
      <c r="B11" s="2" t="s">
        <v>36</v>
      </c>
      <c r="C11" s="2">
        <v>0.7</v>
      </c>
    </row>
    <row r="12" spans="1:3" ht="14.5" x14ac:dyDescent="0.35">
      <c r="A12" s="2">
        <v>11</v>
      </c>
      <c r="B12" s="2" t="s">
        <v>19</v>
      </c>
      <c r="C12" s="2">
        <v>0.62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selection activeCell="C29" sqref="C29"/>
    </sheetView>
  </sheetViews>
  <sheetFormatPr defaultColWidth="14.453125" defaultRowHeight="15" customHeight="1" x14ac:dyDescent="0.35"/>
  <cols>
    <col min="1" max="1" width="51.453125" customWidth="1"/>
    <col min="2" max="5" width="12.453125" customWidth="1"/>
    <col min="6" max="6" width="14.81640625" customWidth="1"/>
    <col min="7" max="7" width="11.26953125" customWidth="1"/>
    <col min="8" max="8" width="8.7265625" customWidth="1"/>
    <col min="9" max="9" width="10.453125" customWidth="1"/>
    <col min="10" max="10" width="11.453125" customWidth="1"/>
    <col min="11" max="11" width="9.453125" customWidth="1"/>
    <col min="12" max="12" width="12.08984375" customWidth="1"/>
    <col min="13" max="13" width="11.26953125" customWidth="1"/>
    <col min="14" max="14" width="14.7265625" customWidth="1"/>
    <col min="15" max="15" width="15.81640625" customWidth="1"/>
    <col min="16" max="26" width="8.7265625" customWidth="1"/>
  </cols>
  <sheetData>
    <row r="1" spans="1:17" ht="14.5" x14ac:dyDescent="0.35">
      <c r="A1" s="44" t="s">
        <v>46</v>
      </c>
      <c r="B1" s="42">
        <v>2013</v>
      </c>
      <c r="C1" s="43"/>
      <c r="D1" s="44" t="s">
        <v>47</v>
      </c>
      <c r="E1" s="42">
        <v>2014</v>
      </c>
      <c r="F1" s="43"/>
      <c r="G1" s="44" t="s">
        <v>48</v>
      </c>
      <c r="H1" s="42">
        <v>2015</v>
      </c>
      <c r="I1" s="43"/>
      <c r="J1" s="44" t="s">
        <v>49</v>
      </c>
      <c r="K1" s="42">
        <v>2016</v>
      </c>
      <c r="L1" s="43"/>
      <c r="M1" s="44" t="s">
        <v>50</v>
      </c>
      <c r="N1" s="44" t="s">
        <v>51</v>
      </c>
      <c r="O1" s="46" t="s">
        <v>52</v>
      </c>
    </row>
    <row r="2" spans="1:17" ht="14.5" x14ac:dyDescent="0.35">
      <c r="A2" s="45"/>
      <c r="B2" s="9" t="s">
        <v>19</v>
      </c>
      <c r="C2" s="9" t="s">
        <v>53</v>
      </c>
      <c r="D2" s="45"/>
      <c r="E2" s="9" t="s">
        <v>19</v>
      </c>
      <c r="F2" s="9" t="s">
        <v>53</v>
      </c>
      <c r="G2" s="45"/>
      <c r="H2" s="9" t="s">
        <v>19</v>
      </c>
      <c r="I2" s="9" t="s">
        <v>53</v>
      </c>
      <c r="J2" s="45"/>
      <c r="K2" s="9" t="s">
        <v>19</v>
      </c>
      <c r="L2" s="9" t="s">
        <v>53</v>
      </c>
      <c r="M2" s="45"/>
      <c r="N2" s="45"/>
      <c r="O2" s="45"/>
      <c r="P2" s="6"/>
      <c r="Q2" s="6"/>
    </row>
    <row r="3" spans="1:17" ht="14.5" x14ac:dyDescent="0.35">
      <c r="A3" s="2" t="s">
        <v>54</v>
      </c>
      <c r="B3" s="10">
        <v>7478.6526100000001</v>
      </c>
      <c r="C3" s="10">
        <v>150463.72</v>
      </c>
      <c r="D3" s="10">
        <f t="shared" ref="D3:D20" si="0">(B3/$B$20)/(C3/$C$20)</f>
        <v>2.9868980117560096</v>
      </c>
      <c r="E3" s="10">
        <v>7851.0616500000006</v>
      </c>
      <c r="F3" s="10">
        <v>155783.96</v>
      </c>
      <c r="G3" s="10">
        <f t="shared" ref="G3:G20" si="1">(E3/$E$20)/(F3/$F$20)</f>
        <v>3.0159166675876747</v>
      </c>
      <c r="H3" s="10">
        <v>8212.4294900000004</v>
      </c>
      <c r="I3" s="10">
        <v>160907.32999999999</v>
      </c>
      <c r="J3" s="10">
        <f t="shared" ref="J3:J20" si="2">(H3/$H$20)/(I3/$I$20)</f>
        <v>3.0448738464176066</v>
      </c>
      <c r="K3" s="10">
        <v>8567.5149700000002</v>
      </c>
      <c r="L3" s="10">
        <v>164687.46</v>
      </c>
      <c r="M3" s="10">
        <f t="shared" ref="M3:M20" si="3">(K3/$K$20)/(L3/$L$20)</f>
        <v>3.094525206678985</v>
      </c>
      <c r="N3" s="11">
        <f t="shared" ref="N3:N20" si="4">(D3+G3+J3+M3)/4</f>
        <v>3.0355534331100689</v>
      </c>
      <c r="O3" s="12">
        <f t="shared" ref="O3:O20" si="5">(K3-H3)/H3</f>
        <v>4.3237568180326591E-2</v>
      </c>
      <c r="P3" s="6"/>
      <c r="Q3" s="6"/>
    </row>
    <row r="4" spans="1:17" ht="14.5" x14ac:dyDescent="0.35">
      <c r="A4" s="2" t="s">
        <v>55</v>
      </c>
      <c r="B4" s="10">
        <v>244.44557999999998</v>
      </c>
      <c r="C4" s="10">
        <v>59049.99</v>
      </c>
      <c r="D4" s="10">
        <f t="shared" si="0"/>
        <v>0.24876609497653304</v>
      </c>
      <c r="E4" s="10">
        <v>259.31632000000002</v>
      </c>
      <c r="F4" s="10">
        <v>60862.35</v>
      </c>
      <c r="G4" s="10">
        <f t="shared" si="1"/>
        <v>0.25497336861745795</v>
      </c>
      <c r="H4" s="10">
        <v>284.31891999999999</v>
      </c>
      <c r="I4" s="10">
        <v>65707.009999999995</v>
      </c>
      <c r="J4" s="10">
        <f t="shared" si="2"/>
        <v>0.25814726860955622</v>
      </c>
      <c r="K4" s="10">
        <v>294.03571999999997</v>
      </c>
      <c r="L4" s="10">
        <v>75024.89</v>
      </c>
      <c r="M4" s="10">
        <f t="shared" si="3"/>
        <v>0.23312798462522558</v>
      </c>
      <c r="N4" s="11">
        <f t="shared" si="4"/>
        <v>0.24875367920719318</v>
      </c>
      <c r="O4" s="12">
        <f t="shared" si="5"/>
        <v>3.4175706632537779E-2</v>
      </c>
      <c r="P4" s="6"/>
      <c r="Q4" s="6"/>
    </row>
    <row r="5" spans="1:17" ht="14.5" x14ac:dyDescent="0.35">
      <c r="A5" s="2" t="s">
        <v>56</v>
      </c>
      <c r="B5" s="10">
        <v>1408.4728700000001</v>
      </c>
      <c r="C5" s="10">
        <v>345794.56</v>
      </c>
      <c r="D5" s="10">
        <f t="shared" si="0"/>
        <v>0.24477054660084785</v>
      </c>
      <c r="E5" s="10">
        <v>1571.80286</v>
      </c>
      <c r="F5" s="10">
        <v>372316.29</v>
      </c>
      <c r="G5" s="10">
        <f t="shared" si="1"/>
        <v>0.25263861127569526</v>
      </c>
      <c r="H5" s="10">
        <v>1693.00317</v>
      </c>
      <c r="I5" s="10">
        <v>393272.95</v>
      </c>
      <c r="J5" s="10">
        <f t="shared" si="2"/>
        <v>0.25682492733614082</v>
      </c>
      <c r="K5" s="10">
        <v>1839.3774799999999</v>
      </c>
      <c r="L5" s="10">
        <v>411028.39</v>
      </c>
      <c r="M5" s="10">
        <f t="shared" si="3"/>
        <v>0.26619428617461277</v>
      </c>
      <c r="N5" s="11">
        <f t="shared" si="4"/>
        <v>0.25510709284682415</v>
      </c>
      <c r="O5" s="12">
        <f t="shared" si="5"/>
        <v>8.6458379165350249E-2</v>
      </c>
      <c r="P5" s="6"/>
      <c r="Q5" s="6"/>
    </row>
    <row r="6" spans="1:17" ht="14.5" x14ac:dyDescent="0.35">
      <c r="A6" s="2" t="s">
        <v>57</v>
      </c>
      <c r="B6" s="10">
        <v>14.98776</v>
      </c>
      <c r="C6" s="10">
        <v>4380.34</v>
      </c>
      <c r="D6" s="10">
        <f t="shared" si="0"/>
        <v>0.20561639328044545</v>
      </c>
      <c r="E6" s="10">
        <v>15.931179999999999</v>
      </c>
      <c r="F6" s="10">
        <v>4545.12</v>
      </c>
      <c r="G6" s="10">
        <f t="shared" si="1"/>
        <v>0.20975691149871978</v>
      </c>
      <c r="H6" s="10">
        <v>16.18102</v>
      </c>
      <c r="I6" s="10">
        <v>4455.2700000000004</v>
      </c>
      <c r="J6" s="10">
        <f t="shared" si="2"/>
        <v>0.21667327352928173</v>
      </c>
      <c r="K6" s="10">
        <v>17.628679999999999</v>
      </c>
      <c r="L6" s="10">
        <v>4483.93</v>
      </c>
      <c r="M6" s="10">
        <f t="shared" si="3"/>
        <v>0.23386253577635691</v>
      </c>
      <c r="N6" s="11">
        <f t="shared" si="4"/>
        <v>0.21647727852120097</v>
      </c>
      <c r="O6" s="12">
        <f t="shared" si="5"/>
        <v>8.94665478443262E-2</v>
      </c>
      <c r="P6" s="6"/>
      <c r="Q6" s="6"/>
    </row>
    <row r="7" spans="1:17" ht="14.5" x14ac:dyDescent="0.35">
      <c r="A7" s="2" t="s">
        <v>58</v>
      </c>
      <c r="B7" s="10">
        <v>22.27487</v>
      </c>
      <c r="C7" s="10">
        <v>1231.05</v>
      </c>
      <c r="D7" s="10">
        <f t="shared" si="0"/>
        <v>1.0873473840936623</v>
      </c>
      <c r="E7" s="10">
        <v>23.04542</v>
      </c>
      <c r="F7" s="10">
        <v>1234.1300000000001</v>
      </c>
      <c r="G7" s="10">
        <f t="shared" si="1"/>
        <v>1.1174739479530937</v>
      </c>
      <c r="H7" s="10">
        <v>24.296979999999998</v>
      </c>
      <c r="I7" s="10">
        <v>1299.27</v>
      </c>
      <c r="J7" s="10">
        <f t="shared" si="2"/>
        <v>1.1156458748964577</v>
      </c>
      <c r="K7" s="10">
        <v>25.631439999999998</v>
      </c>
      <c r="L7" s="10">
        <v>1366.77</v>
      </c>
      <c r="M7" s="10">
        <f t="shared" si="3"/>
        <v>1.1155197208005356</v>
      </c>
      <c r="N7" s="11">
        <f t="shared" si="4"/>
        <v>1.1089967319359375</v>
      </c>
      <c r="O7" s="12">
        <f t="shared" si="5"/>
        <v>5.4922875188603691E-2</v>
      </c>
      <c r="P7" s="6"/>
      <c r="Q7" s="6"/>
    </row>
    <row r="8" spans="1:17" ht="14.5" x14ac:dyDescent="0.35">
      <c r="A8" s="2" t="s">
        <v>59</v>
      </c>
      <c r="B8" s="10">
        <v>2162.7305299999998</v>
      </c>
      <c r="C8" s="10">
        <v>110485.45</v>
      </c>
      <c r="D8" s="10">
        <f t="shared" si="0"/>
        <v>1.1763218132229327</v>
      </c>
      <c r="E8" s="10">
        <v>2271.8577200000004</v>
      </c>
      <c r="F8" s="10">
        <v>116498.23</v>
      </c>
      <c r="G8" s="10">
        <f t="shared" si="1"/>
        <v>1.167012455686153</v>
      </c>
      <c r="H8" s="10">
        <v>2309.4810699999998</v>
      </c>
      <c r="I8" s="10">
        <v>120688.27</v>
      </c>
      <c r="J8" s="10">
        <f t="shared" si="2"/>
        <v>1.1416232985744543</v>
      </c>
      <c r="K8" s="10">
        <v>2455.9042899999999</v>
      </c>
      <c r="L8" s="10">
        <v>126802.99</v>
      </c>
      <c r="M8" s="10">
        <f t="shared" si="3"/>
        <v>1.1520773211525619</v>
      </c>
      <c r="N8" s="11">
        <f t="shared" si="4"/>
        <v>1.1592587221590254</v>
      </c>
      <c r="O8" s="12">
        <f t="shared" si="5"/>
        <v>6.3400918025277489E-2</v>
      </c>
      <c r="P8" s="6"/>
      <c r="Q8" s="6"/>
    </row>
    <row r="9" spans="1:17" ht="14.5" x14ac:dyDescent="0.35">
      <c r="A9" s="2" t="s">
        <v>60</v>
      </c>
      <c r="B9" s="10">
        <v>3807.2506100000001</v>
      </c>
      <c r="C9" s="10">
        <v>219246.07</v>
      </c>
      <c r="D9" s="10">
        <f t="shared" si="0"/>
        <v>1.0435384988657395</v>
      </c>
      <c r="E9" s="10">
        <v>4105.5492000000004</v>
      </c>
      <c r="F9" s="10">
        <v>230225.81</v>
      </c>
      <c r="G9" s="10">
        <f t="shared" si="1"/>
        <v>1.0671634453338081</v>
      </c>
      <c r="H9" s="10">
        <v>4401.9165999999996</v>
      </c>
      <c r="I9" s="10">
        <v>243014.66</v>
      </c>
      <c r="J9" s="10">
        <f t="shared" si="2"/>
        <v>1.0806444195222435</v>
      </c>
      <c r="K9" s="10">
        <v>4709.81185</v>
      </c>
      <c r="L9" s="10">
        <v>257126.66</v>
      </c>
      <c r="M9" s="10">
        <f t="shared" si="3"/>
        <v>1.0895725005078991</v>
      </c>
      <c r="N9" s="11">
        <f t="shared" si="4"/>
        <v>1.0702297160574226</v>
      </c>
      <c r="O9" s="12">
        <f t="shared" si="5"/>
        <v>6.9945725459678296E-2</v>
      </c>
      <c r="P9" s="6"/>
      <c r="Q9" s="6"/>
    </row>
    <row r="10" spans="1:17" ht="14.5" x14ac:dyDescent="0.35">
      <c r="A10" s="2" t="s">
        <v>61</v>
      </c>
      <c r="B10" s="10">
        <v>146.398</v>
      </c>
      <c r="C10" s="10">
        <v>34241.21</v>
      </c>
      <c r="D10" s="10">
        <f t="shared" si="0"/>
        <v>0.25693003076833193</v>
      </c>
      <c r="E10" s="10">
        <v>159.38005999999999</v>
      </c>
      <c r="F10" s="10">
        <v>36461.760000000002</v>
      </c>
      <c r="G10" s="10">
        <f t="shared" si="1"/>
        <v>0.26158331968104404</v>
      </c>
      <c r="H10" s="10">
        <v>171.505</v>
      </c>
      <c r="I10" s="10">
        <v>38896.629999999997</v>
      </c>
      <c r="J10" s="10">
        <f t="shared" si="2"/>
        <v>0.26304998940525964</v>
      </c>
      <c r="K10" s="10">
        <v>186.35746</v>
      </c>
      <c r="L10" s="10">
        <v>41107.64</v>
      </c>
      <c r="M10" s="10">
        <f t="shared" si="3"/>
        <v>0.26966458975980473</v>
      </c>
      <c r="N10" s="11">
        <f t="shared" si="4"/>
        <v>0.26280698240361006</v>
      </c>
      <c r="O10" s="12">
        <f t="shared" si="5"/>
        <v>8.6600740503192372E-2</v>
      </c>
      <c r="P10" s="6"/>
      <c r="Q10" s="6"/>
    </row>
    <row r="11" spans="1:17" ht="14.5" x14ac:dyDescent="0.35">
      <c r="A11" s="2" t="s">
        <v>62</v>
      </c>
      <c r="B11" s="10">
        <v>254.6165</v>
      </c>
      <c r="C11" s="10">
        <v>57684.94</v>
      </c>
      <c r="D11" s="10">
        <f t="shared" si="0"/>
        <v>0.26524849418897717</v>
      </c>
      <c r="E11" s="10">
        <v>279.20693</v>
      </c>
      <c r="F11" s="10">
        <v>62807.8</v>
      </c>
      <c r="G11" s="10">
        <f t="shared" si="1"/>
        <v>0.26602735783930687</v>
      </c>
      <c r="H11" s="10">
        <v>314.94684000000001</v>
      </c>
      <c r="I11" s="10">
        <v>67657.039999999994</v>
      </c>
      <c r="J11" s="10">
        <f t="shared" si="2"/>
        <v>0.277713978604677</v>
      </c>
      <c r="K11" s="10">
        <v>345.93034</v>
      </c>
      <c r="L11" s="10">
        <v>73398.14</v>
      </c>
      <c r="M11" s="10">
        <f t="shared" si="3"/>
        <v>0.28035175769546883</v>
      </c>
      <c r="N11" s="11">
        <f t="shared" si="4"/>
        <v>0.27233539708210747</v>
      </c>
      <c r="O11" s="12">
        <f t="shared" si="5"/>
        <v>9.837691973667681E-2</v>
      </c>
      <c r="P11" s="6"/>
      <c r="Q11" s="6"/>
    </row>
    <row r="12" spans="1:17" ht="14.5" x14ac:dyDescent="0.35">
      <c r="A12" s="2" t="s">
        <v>63</v>
      </c>
      <c r="B12" s="10">
        <v>1510.79295</v>
      </c>
      <c r="C12" s="10">
        <v>65313.95</v>
      </c>
      <c r="D12" s="10">
        <f t="shared" si="0"/>
        <v>1.3900416987368818</v>
      </c>
      <c r="E12" s="10">
        <v>1613.56621</v>
      </c>
      <c r="F12" s="10">
        <v>69155.100000000006</v>
      </c>
      <c r="G12" s="10">
        <f t="shared" si="1"/>
        <v>1.3962920525838465</v>
      </c>
      <c r="H12" s="10">
        <v>1726.9055000000001</v>
      </c>
      <c r="I12" s="10">
        <v>73639.960000000006</v>
      </c>
      <c r="J12" s="10">
        <f t="shared" si="2"/>
        <v>1.3990347674250061</v>
      </c>
      <c r="K12" s="10">
        <v>1848.5428700000002</v>
      </c>
      <c r="L12" s="10">
        <v>79216.960000000006</v>
      </c>
      <c r="M12" s="10">
        <f t="shared" si="3"/>
        <v>1.3880689479708765</v>
      </c>
      <c r="N12" s="11">
        <f t="shared" si="4"/>
        <v>1.3933593666791528</v>
      </c>
      <c r="O12" s="12">
        <f t="shared" si="5"/>
        <v>7.0436610457260199E-2</v>
      </c>
      <c r="P12" s="6"/>
      <c r="Q12" s="6"/>
    </row>
    <row r="13" spans="1:17" ht="14.5" x14ac:dyDescent="0.35">
      <c r="A13" s="2" t="s">
        <v>64</v>
      </c>
      <c r="B13" s="10">
        <v>400.43604999999997</v>
      </c>
      <c r="C13" s="10">
        <v>30348.35</v>
      </c>
      <c r="D13" s="10">
        <f t="shared" si="0"/>
        <v>0.79291551006106109</v>
      </c>
      <c r="E13" s="10">
        <v>426.03078999999997</v>
      </c>
      <c r="F13" s="10">
        <v>32399.64</v>
      </c>
      <c r="G13" s="10">
        <f t="shared" si="1"/>
        <v>0.78689084375219309</v>
      </c>
      <c r="H13" s="10">
        <v>456.46969999999999</v>
      </c>
      <c r="I13" s="10">
        <v>34730.26</v>
      </c>
      <c r="J13" s="10">
        <f t="shared" si="2"/>
        <v>0.78411073333306536</v>
      </c>
      <c r="K13" s="10">
        <v>487.59411999999998</v>
      </c>
      <c r="L13" s="10">
        <v>37158.620000000003</v>
      </c>
      <c r="M13" s="10">
        <f t="shared" si="3"/>
        <v>0.78054611607503321</v>
      </c>
      <c r="N13" s="11">
        <f t="shared" si="4"/>
        <v>0.78611580080533827</v>
      </c>
      <c r="O13" s="12">
        <f t="shared" si="5"/>
        <v>6.8185073401367036E-2</v>
      </c>
      <c r="P13" s="6"/>
      <c r="Q13" s="6"/>
    </row>
    <row r="14" spans="1:17" ht="14.5" x14ac:dyDescent="0.35">
      <c r="A14" s="2" t="s">
        <v>65</v>
      </c>
      <c r="B14" s="10">
        <v>411.26772</v>
      </c>
      <c r="C14" s="10">
        <v>20565.060000000001</v>
      </c>
      <c r="D14" s="10">
        <f t="shared" si="0"/>
        <v>1.2017758456863914</v>
      </c>
      <c r="E14" s="10">
        <v>444.47560999999996</v>
      </c>
      <c r="F14" s="10">
        <v>21998.29</v>
      </c>
      <c r="G14" s="10">
        <f t="shared" si="1"/>
        <v>1.2091291761303868</v>
      </c>
      <c r="H14" s="10">
        <v>480.17160999999999</v>
      </c>
      <c r="I14" s="10">
        <v>23092.639999999999</v>
      </c>
      <c r="J14" s="10">
        <f t="shared" si="2"/>
        <v>1.2404988678564195</v>
      </c>
      <c r="K14" s="10">
        <v>508.72053000000005</v>
      </c>
      <c r="L14" s="10">
        <v>24298.54</v>
      </c>
      <c r="M14" s="10">
        <f t="shared" si="3"/>
        <v>1.2453710593599874</v>
      </c>
      <c r="N14" s="11">
        <f t="shared" si="4"/>
        <v>1.2241937372582963</v>
      </c>
      <c r="O14" s="12">
        <f t="shared" si="5"/>
        <v>5.9455660029546657E-2</v>
      </c>
      <c r="P14" s="6"/>
      <c r="Q14" s="6"/>
    </row>
    <row r="15" spans="1:17" ht="14.5" x14ac:dyDescent="0.35">
      <c r="A15" s="2" t="s">
        <v>66</v>
      </c>
      <c r="B15" s="10">
        <v>54.888419999999996</v>
      </c>
      <c r="C15" s="10">
        <v>9044.15</v>
      </c>
      <c r="D15" s="10">
        <f t="shared" si="0"/>
        <v>0.36470507040130534</v>
      </c>
      <c r="E15" s="10">
        <v>58.381039999999999</v>
      </c>
      <c r="F15" s="10">
        <v>9815</v>
      </c>
      <c r="G15" s="10">
        <f t="shared" si="1"/>
        <v>0.35595509400418002</v>
      </c>
      <c r="H15" s="10">
        <v>62.376260000000002</v>
      </c>
      <c r="I15" s="10">
        <v>10349.049999999999</v>
      </c>
      <c r="J15" s="10">
        <f t="shared" si="2"/>
        <v>0.35957734781690276</v>
      </c>
      <c r="K15" s="10">
        <v>65.974440000000001</v>
      </c>
      <c r="L15" s="10">
        <v>10884.7</v>
      </c>
      <c r="M15" s="10">
        <f t="shared" si="3"/>
        <v>0.36054454819065418</v>
      </c>
      <c r="N15" s="11">
        <f t="shared" si="4"/>
        <v>0.36019551510326053</v>
      </c>
      <c r="O15" s="12">
        <f t="shared" si="5"/>
        <v>5.7685087243127417E-2</v>
      </c>
      <c r="P15" s="6"/>
      <c r="Q15" s="6"/>
    </row>
    <row r="16" spans="1:17" ht="14.5" x14ac:dyDescent="0.35">
      <c r="A16" s="2" t="s">
        <v>67</v>
      </c>
      <c r="B16" s="10">
        <v>866.27512000000002</v>
      </c>
      <c r="C16" s="10">
        <v>28564.75</v>
      </c>
      <c r="D16" s="10">
        <f t="shared" si="0"/>
        <v>1.8224442101177758</v>
      </c>
      <c r="E16" s="10">
        <v>869.60703000000001</v>
      </c>
      <c r="F16" s="10">
        <v>28729.58</v>
      </c>
      <c r="G16" s="10">
        <f t="shared" si="1"/>
        <v>1.8113711819242915</v>
      </c>
      <c r="H16" s="10">
        <v>922.21229000000005</v>
      </c>
      <c r="I16" s="10">
        <v>30236.25</v>
      </c>
      <c r="J16" s="10">
        <f t="shared" si="2"/>
        <v>1.8196022141107959</v>
      </c>
      <c r="K16" s="10">
        <v>960.67936999999995</v>
      </c>
      <c r="L16" s="10">
        <v>31668.14</v>
      </c>
      <c r="M16" s="10">
        <f t="shared" si="3"/>
        <v>1.8044946236795922</v>
      </c>
      <c r="N16" s="11">
        <f t="shared" si="4"/>
        <v>1.8144780574581139</v>
      </c>
      <c r="O16" s="12">
        <f t="shared" si="5"/>
        <v>4.1711740796687817E-2</v>
      </c>
      <c r="P16" s="6"/>
      <c r="Q16" s="6"/>
    </row>
    <row r="17" spans="1:17" ht="14.5" x14ac:dyDescent="0.35">
      <c r="A17" s="2" t="s">
        <v>68</v>
      </c>
      <c r="B17" s="10">
        <v>515.17538000000002</v>
      </c>
      <c r="C17" s="10">
        <v>31265.46</v>
      </c>
      <c r="D17" s="10">
        <f t="shared" si="0"/>
        <v>0.99019129896789326</v>
      </c>
      <c r="E17" s="10">
        <v>556.36306000000002</v>
      </c>
      <c r="F17" s="10">
        <v>33164.9</v>
      </c>
      <c r="G17" s="10">
        <f t="shared" si="1"/>
        <v>1.0039065413486907</v>
      </c>
      <c r="H17" s="10">
        <v>600.6558</v>
      </c>
      <c r="I17" s="10">
        <v>35330.67</v>
      </c>
      <c r="J17" s="10">
        <f t="shared" si="2"/>
        <v>1.0142552869711368</v>
      </c>
      <c r="K17" s="10">
        <v>639.09776999999997</v>
      </c>
      <c r="L17" s="10">
        <v>37438.699999999997</v>
      </c>
      <c r="M17" s="10">
        <f t="shared" si="3"/>
        <v>1.0154211993962252</v>
      </c>
      <c r="N17" s="11">
        <f t="shared" si="4"/>
        <v>1.0059435816709863</v>
      </c>
      <c r="O17" s="12">
        <f t="shared" si="5"/>
        <v>6.3999998002183561E-2</v>
      </c>
      <c r="P17" s="6"/>
      <c r="Q17" s="6"/>
    </row>
    <row r="18" spans="1:17" ht="14.5" x14ac:dyDescent="0.35">
      <c r="A18" s="2" t="s">
        <v>69</v>
      </c>
      <c r="B18" s="10">
        <v>162.27889999999999</v>
      </c>
      <c r="C18" s="10">
        <v>7592.82</v>
      </c>
      <c r="D18" s="10">
        <f t="shared" si="0"/>
        <v>1.2843629802688952</v>
      </c>
      <c r="E18" s="10">
        <v>178.00013000000001</v>
      </c>
      <c r="F18" s="10">
        <v>8212.85</v>
      </c>
      <c r="G18" s="10">
        <f t="shared" si="1"/>
        <v>1.2970004228850169</v>
      </c>
      <c r="H18" s="10">
        <v>194.27051</v>
      </c>
      <c r="I18" s="10">
        <v>8743.34</v>
      </c>
      <c r="J18" s="10">
        <f t="shared" si="2"/>
        <v>1.3255709923879888</v>
      </c>
      <c r="K18" s="10">
        <v>210.31576999999999</v>
      </c>
      <c r="L18" s="10">
        <v>9245.3799999999992</v>
      </c>
      <c r="M18" s="10">
        <f t="shared" si="3"/>
        <v>1.3531525378804887</v>
      </c>
      <c r="N18" s="11">
        <f t="shared" si="4"/>
        <v>1.3150217333555974</v>
      </c>
      <c r="O18" s="12">
        <f t="shared" si="5"/>
        <v>8.2592360518330785E-2</v>
      </c>
      <c r="P18" s="6"/>
      <c r="Q18" s="6"/>
    </row>
    <row r="19" spans="1:17" ht="14.5" x14ac:dyDescent="0.35">
      <c r="A19" s="2" t="s">
        <v>70</v>
      </c>
      <c r="B19" s="10">
        <v>387.89416999999997</v>
      </c>
      <c r="C19" s="10">
        <v>17517.93</v>
      </c>
      <c r="D19" s="10">
        <f t="shared" si="0"/>
        <v>1.3306360767083334</v>
      </c>
      <c r="E19" s="10">
        <v>416.36187000000001</v>
      </c>
      <c r="F19" s="10">
        <v>18473.7</v>
      </c>
      <c r="G19" s="10">
        <f t="shared" si="1"/>
        <v>1.3487478109395776</v>
      </c>
      <c r="H19" s="10">
        <v>445.73727000000002</v>
      </c>
      <c r="I19" s="10">
        <v>19374.39</v>
      </c>
      <c r="J19" s="10">
        <f t="shared" si="2"/>
        <v>1.3725380395719351</v>
      </c>
      <c r="K19" s="10">
        <v>460.67528999999996</v>
      </c>
      <c r="L19" s="10">
        <v>20298.2</v>
      </c>
      <c r="M19" s="10">
        <f t="shared" si="3"/>
        <v>1.350010277213781</v>
      </c>
      <c r="N19" s="11">
        <f t="shared" si="4"/>
        <v>1.3504830511084067</v>
      </c>
      <c r="O19" s="12">
        <f t="shared" si="5"/>
        <v>3.3513060283246986E-2</v>
      </c>
      <c r="P19" s="6"/>
      <c r="Q19" s="6"/>
    </row>
    <row r="20" spans="1:17" ht="14.5" x14ac:dyDescent="0.35">
      <c r="A20" s="2" t="s">
        <v>71</v>
      </c>
      <c r="B20" s="10">
        <v>19848.838050000002</v>
      </c>
      <c r="C20" s="10">
        <v>1192789.8</v>
      </c>
      <c r="D20" s="3">
        <f t="shared" si="0"/>
        <v>1</v>
      </c>
      <c r="E20" s="10">
        <v>21099.93708</v>
      </c>
      <c r="F20" s="10">
        <v>1262684.5</v>
      </c>
      <c r="G20" s="3">
        <f t="shared" si="1"/>
        <v>1</v>
      </c>
      <c r="H20" s="10">
        <v>22316.87803</v>
      </c>
      <c r="I20" s="10">
        <v>1331394.99</v>
      </c>
      <c r="J20" s="10">
        <f t="shared" si="2"/>
        <v>1</v>
      </c>
      <c r="K20" s="10">
        <v>23623.792379999999</v>
      </c>
      <c r="L20" s="10">
        <v>1405236.11</v>
      </c>
      <c r="M20" s="10">
        <f t="shared" si="3"/>
        <v>1</v>
      </c>
      <c r="N20" s="13">
        <f t="shared" si="4"/>
        <v>1</v>
      </c>
      <c r="O20" s="12">
        <f t="shared" si="5"/>
        <v>5.8561701517709959E-2</v>
      </c>
    </row>
    <row r="21" spans="1:17" ht="15.75" customHeight="1" x14ac:dyDescent="0.35"/>
    <row r="22" spans="1:17" ht="15.75" customHeight="1" x14ac:dyDescent="0.35">
      <c r="E22" s="14"/>
      <c r="F22" s="15"/>
      <c r="H22" s="6"/>
    </row>
    <row r="23" spans="1:17" ht="15.75" customHeight="1" x14ac:dyDescent="0.35"/>
    <row r="24" spans="1:17" ht="15.75" customHeight="1" x14ac:dyDescent="0.35"/>
    <row r="25" spans="1:17" ht="15.75" customHeight="1" x14ac:dyDescent="0.35"/>
    <row r="26" spans="1:17" ht="15.75" customHeight="1" x14ac:dyDescent="0.35"/>
    <row r="27" spans="1:17" ht="15.75" customHeight="1" x14ac:dyDescent="0.35"/>
    <row r="28" spans="1:17" ht="15.75" customHeight="1" x14ac:dyDescent="0.35"/>
    <row r="29" spans="1:17" ht="15.75" customHeight="1" x14ac:dyDescent="0.35"/>
    <row r="30" spans="1:17" ht="15.75" customHeight="1" x14ac:dyDescent="0.35"/>
    <row r="31" spans="1:17" ht="15.75" customHeight="1" x14ac:dyDescent="0.35"/>
    <row r="32" spans="1:1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K1:L1"/>
    <mergeCell ref="M1:M2"/>
    <mergeCell ref="N1:N2"/>
    <mergeCell ref="O1:O2"/>
    <mergeCell ref="A1:A2"/>
    <mergeCell ref="B1:C1"/>
    <mergeCell ref="D1:D2"/>
    <mergeCell ref="E1:F1"/>
    <mergeCell ref="G1:G2"/>
    <mergeCell ref="H1:I1"/>
    <mergeCell ref="J1:J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workbookViewId="0">
      <selection activeCell="B24" sqref="B24"/>
    </sheetView>
  </sheetViews>
  <sheetFormatPr defaultColWidth="14.453125" defaultRowHeight="15" customHeight="1" x14ac:dyDescent="0.35"/>
  <cols>
    <col min="1" max="1" width="51.453125" customWidth="1"/>
    <col min="2" max="2" width="7.453125" customWidth="1"/>
    <col min="3" max="5" width="9.7265625" customWidth="1"/>
    <col min="6" max="6" width="11.7265625" customWidth="1"/>
    <col min="7" max="7" width="9.08984375" customWidth="1"/>
    <col min="8" max="8" width="11.81640625" customWidth="1"/>
    <col min="9" max="9" width="8.7265625" customWidth="1"/>
    <col min="10" max="10" width="11.54296875" customWidth="1"/>
    <col min="11" max="26" width="8.7265625" customWidth="1"/>
  </cols>
  <sheetData>
    <row r="1" spans="1:16" ht="14.5" x14ac:dyDescent="0.35">
      <c r="A1" s="47" t="s">
        <v>46</v>
      </c>
      <c r="B1" s="48" t="s">
        <v>72</v>
      </c>
      <c r="C1" s="49"/>
      <c r="D1" s="49"/>
      <c r="E1" s="49"/>
      <c r="F1" s="43"/>
      <c r="G1" s="50" t="s">
        <v>73</v>
      </c>
      <c r="H1" s="49"/>
      <c r="I1" s="49"/>
      <c r="J1" s="49"/>
      <c r="K1" s="43"/>
      <c r="L1" s="51" t="s">
        <v>74</v>
      </c>
      <c r="M1" s="49"/>
      <c r="N1" s="49"/>
      <c r="O1" s="49"/>
      <c r="P1" s="43"/>
    </row>
    <row r="2" spans="1:16" ht="14.5" x14ac:dyDescent="0.35">
      <c r="A2" s="45"/>
      <c r="B2" s="16">
        <v>2012</v>
      </c>
      <c r="C2" s="16">
        <v>2013</v>
      </c>
      <c r="D2" s="16">
        <v>2014</v>
      </c>
      <c r="E2" s="16">
        <v>2015</v>
      </c>
      <c r="F2" s="16">
        <v>2016</v>
      </c>
      <c r="G2" s="17" t="s">
        <v>75</v>
      </c>
      <c r="H2" s="18">
        <v>2013</v>
      </c>
      <c r="I2" s="18">
        <v>2014</v>
      </c>
      <c r="J2" s="18">
        <v>2015</v>
      </c>
      <c r="K2" s="18">
        <v>2016</v>
      </c>
      <c r="L2" s="19">
        <v>2013</v>
      </c>
      <c r="M2" s="19">
        <v>2014</v>
      </c>
      <c r="N2" s="19">
        <v>2015</v>
      </c>
      <c r="O2" s="19">
        <v>2016</v>
      </c>
      <c r="P2" s="19" t="s">
        <v>76</v>
      </c>
    </row>
    <row r="3" spans="1:16" ht="14.5" x14ac:dyDescent="0.35">
      <c r="A3" s="2" t="s">
        <v>54</v>
      </c>
      <c r="B3" s="2"/>
      <c r="C3" s="12">
        <v>0.37678037329746861</v>
      </c>
      <c r="D3" s="12">
        <v>0.37208933942470318</v>
      </c>
      <c r="E3" s="12">
        <v>0.36799186153906671</v>
      </c>
      <c r="F3" s="12">
        <v>0.36266467433286853</v>
      </c>
      <c r="G3" s="12">
        <f t="shared" ref="G3:G19" si="0">AVERAGE(C3:F3)</f>
        <v>0.36988156214852674</v>
      </c>
      <c r="H3" s="10">
        <f t="shared" ref="H3:H19" si="1">C3*$C$20</f>
        <v>2390.3512052551355</v>
      </c>
      <c r="I3" s="10">
        <f t="shared" ref="I3:I19" si="2">D3*$D$20</f>
        <v>2423.2467065769565</v>
      </c>
      <c r="J3" s="10">
        <f t="shared" ref="J3:J19" si="3">E3*$E$20</f>
        <v>2548.2847624601909</v>
      </c>
      <c r="K3" s="10">
        <f t="shared" ref="K3:K19" si="4">F3*$F$20</f>
        <v>2703.8863726028781</v>
      </c>
      <c r="L3" s="12">
        <v>5.8000000000000003E-2</v>
      </c>
      <c r="M3" s="12">
        <v>5.7599999999999998E-2</v>
      </c>
      <c r="N3" s="12">
        <v>4.5699999999999998E-2</v>
      </c>
      <c r="O3" s="12">
        <v>4.3237568180326591E-2</v>
      </c>
      <c r="P3" s="20">
        <f t="shared" ref="P3:P19" si="5">AVERAGE(L3:O3)</f>
        <v>5.1134392045081647E-2</v>
      </c>
    </row>
    <row r="4" spans="1:16" ht="14.5" x14ac:dyDescent="0.35">
      <c r="A4" s="2" t="s">
        <v>55</v>
      </c>
      <c r="B4" s="2"/>
      <c r="C4" s="12">
        <v>1.2315359689279139E-2</v>
      </c>
      <c r="D4" s="12">
        <v>1.2289909634176029E-2</v>
      </c>
      <c r="E4" s="12">
        <v>1.274008486392216E-2</v>
      </c>
      <c r="F4" s="12">
        <v>1.2446592624515775E-2</v>
      </c>
      <c r="G4" s="12">
        <f t="shared" si="0"/>
        <v>1.2447986702973275E-2</v>
      </c>
      <c r="H4" s="10">
        <f t="shared" si="1"/>
        <v>78.130489172740241</v>
      </c>
      <c r="I4" s="10">
        <f t="shared" si="2"/>
        <v>80.038528088956753</v>
      </c>
      <c r="J4" s="10">
        <f t="shared" si="3"/>
        <v>88.223049269082736</v>
      </c>
      <c r="K4" s="10">
        <f t="shared" si="4"/>
        <v>92.796940437266059</v>
      </c>
      <c r="L4" s="12">
        <v>1.6500000000000001E-2</v>
      </c>
      <c r="M4" s="12">
        <v>6.08E-2</v>
      </c>
      <c r="N4" s="12">
        <v>9.64E-2</v>
      </c>
      <c r="O4" s="12">
        <v>3.4175706632537779E-2</v>
      </c>
      <c r="P4" s="20">
        <f t="shared" si="5"/>
        <v>5.1968926658134448E-2</v>
      </c>
    </row>
    <row r="5" spans="1:16" ht="14.5" x14ac:dyDescent="0.35">
      <c r="A5" s="2" t="s">
        <v>56</v>
      </c>
      <c r="B5" s="2"/>
      <c r="C5" s="12">
        <v>7.0959965840418554E-2</v>
      </c>
      <c r="D5" s="12">
        <v>7.4493248678445825E-2</v>
      </c>
      <c r="E5" s="12">
        <v>7.5862007567731454E-2</v>
      </c>
      <c r="F5" s="12">
        <v>7.7861227800038763E-2</v>
      </c>
      <c r="G5" s="12">
        <f t="shared" si="0"/>
        <v>7.4794112471658653E-2</v>
      </c>
      <c r="H5" s="10">
        <f t="shared" si="1"/>
        <v>450.18066728649137</v>
      </c>
      <c r="I5" s="10">
        <f t="shared" si="2"/>
        <v>485.1402617483256</v>
      </c>
      <c r="J5" s="10">
        <f t="shared" si="3"/>
        <v>525.33226448532946</v>
      </c>
      <c r="K5" s="10">
        <f t="shared" si="4"/>
        <v>580.50294859824692</v>
      </c>
      <c r="L5" s="12">
        <v>6.9400000000000003E-2</v>
      </c>
      <c r="M5" s="12">
        <v>8.4699999999999998E-2</v>
      </c>
      <c r="N5" s="12">
        <v>8.14E-2</v>
      </c>
      <c r="O5" s="12">
        <v>8.6458379165350249E-2</v>
      </c>
      <c r="P5" s="20">
        <f t="shared" si="5"/>
        <v>8.0489594791337563E-2</v>
      </c>
    </row>
    <row r="6" spans="1:16" ht="14.5" x14ac:dyDescent="0.35">
      <c r="A6" s="2" t="s">
        <v>57</v>
      </c>
      <c r="B6" s="2"/>
      <c r="C6" s="12">
        <v>7.5509508225344191E-4</v>
      </c>
      <c r="D6" s="12">
        <v>7.5503447899381133E-4</v>
      </c>
      <c r="E6" s="12">
        <v>7.250575093096926E-4</v>
      </c>
      <c r="F6" s="12">
        <v>7.4622565744035714E-4</v>
      </c>
      <c r="G6" s="12">
        <f t="shared" si="0"/>
        <v>7.453531819993258E-4</v>
      </c>
      <c r="H6" s="10">
        <f t="shared" si="1"/>
        <v>4.7904364660781731</v>
      </c>
      <c r="I6" s="10">
        <f t="shared" si="2"/>
        <v>4.9171922458263557</v>
      </c>
      <c r="J6" s="10">
        <f t="shared" si="3"/>
        <v>5.0209072427681321</v>
      </c>
      <c r="K6" s="10">
        <f t="shared" si="4"/>
        <v>5.5635674738689005</v>
      </c>
      <c r="L6" s="12">
        <v>3.78E-2</v>
      </c>
      <c r="M6" s="12">
        <v>2.8299999999999999E-2</v>
      </c>
      <c r="N6" s="12">
        <v>4.4999999999999997E-3</v>
      </c>
      <c r="O6" s="12">
        <v>8.94665478443262E-2</v>
      </c>
      <c r="P6" s="20">
        <f t="shared" si="5"/>
        <v>4.0016636961081549E-2</v>
      </c>
    </row>
    <row r="7" spans="1:16" ht="14.5" x14ac:dyDescent="0.35">
      <c r="A7" s="2" t="s">
        <v>58</v>
      </c>
      <c r="B7" s="2"/>
      <c r="C7" s="12">
        <v>1.1222253889063294E-3</v>
      </c>
      <c r="D7" s="12">
        <v>1.0922032569397595E-3</v>
      </c>
      <c r="E7" s="12">
        <v>1.0887266564498044E-3</v>
      </c>
      <c r="F7" s="12">
        <v>1.0849841375045136E-3</v>
      </c>
      <c r="G7" s="12">
        <f t="shared" si="0"/>
        <v>1.0970348599501018E-3</v>
      </c>
      <c r="H7" s="10">
        <f t="shared" si="1"/>
        <v>7.1195662010300893</v>
      </c>
      <c r="I7" s="10">
        <f t="shared" si="2"/>
        <v>7.1130173989504613</v>
      </c>
      <c r="J7" s="10">
        <f t="shared" si="3"/>
        <v>7.5392578996498631</v>
      </c>
      <c r="K7" s="10">
        <f t="shared" si="4"/>
        <v>8.089218585420026</v>
      </c>
      <c r="L7" s="12">
        <v>7.9100000000000004E-2</v>
      </c>
      <c r="M7" s="12">
        <v>3.4599999999999999E-2</v>
      </c>
      <c r="N7" s="12">
        <v>5.4300000000000001E-2</v>
      </c>
      <c r="O7" s="12">
        <v>5.4922875188603691E-2</v>
      </c>
      <c r="P7" s="20">
        <f t="shared" si="5"/>
        <v>5.573071879715092E-2</v>
      </c>
    </row>
    <row r="8" spans="1:16" ht="14.5" x14ac:dyDescent="0.35">
      <c r="A8" s="2" t="s">
        <v>59</v>
      </c>
      <c r="B8" s="2"/>
      <c r="C8" s="12">
        <v>0.10896005723619673</v>
      </c>
      <c r="D8" s="12">
        <v>0.1076713030653265</v>
      </c>
      <c r="E8" s="12">
        <v>0.10348584900161323</v>
      </c>
      <c r="F8" s="12">
        <v>0.10395893472544987</v>
      </c>
      <c r="G8" s="12">
        <f t="shared" si="0"/>
        <v>0.10601903600714659</v>
      </c>
      <c r="H8" s="10">
        <f t="shared" si="1"/>
        <v>691.25894711501746</v>
      </c>
      <c r="I8" s="10">
        <f t="shared" si="2"/>
        <v>701.21366806506148</v>
      </c>
      <c r="J8" s="10">
        <f t="shared" si="3"/>
        <v>716.62294660033137</v>
      </c>
      <c r="K8" s="10">
        <f t="shared" si="4"/>
        <v>775.07727332841125</v>
      </c>
      <c r="L8" s="12">
        <v>5.8900000000000001E-2</v>
      </c>
      <c r="M8" s="12">
        <v>5.0799999999999998E-2</v>
      </c>
      <c r="N8" s="12">
        <v>1.66E-2</v>
      </c>
      <c r="O8" s="12">
        <v>6.3400918025277489E-2</v>
      </c>
      <c r="P8" s="20">
        <f t="shared" si="5"/>
        <v>4.7425229506319375E-2</v>
      </c>
    </row>
    <row r="9" spans="1:16" ht="14.5" x14ac:dyDescent="0.35">
      <c r="A9" s="2" t="s">
        <v>60</v>
      </c>
      <c r="B9" s="2"/>
      <c r="C9" s="12">
        <v>0.19181226631047049</v>
      </c>
      <c r="D9" s="12">
        <v>0.19457637169409039</v>
      </c>
      <c r="E9" s="12">
        <v>0.19724607510435005</v>
      </c>
      <c r="F9" s="12">
        <v>0.1993673062411159</v>
      </c>
      <c r="G9" s="12">
        <f t="shared" si="0"/>
        <v>0.19575050483750672</v>
      </c>
      <c r="H9" s="10">
        <f t="shared" si="1"/>
        <v>1216.8857893135712</v>
      </c>
      <c r="I9" s="10">
        <f t="shared" si="2"/>
        <v>1267.1864037126315</v>
      </c>
      <c r="J9" s="10">
        <f t="shared" si="3"/>
        <v>1365.8975107256074</v>
      </c>
      <c r="K9" s="10">
        <f t="shared" si="4"/>
        <v>1486.4048820843261</v>
      </c>
      <c r="L9" s="12">
        <v>9.8500000000000004E-2</v>
      </c>
      <c r="M9" s="12">
        <v>7.8399999999999997E-2</v>
      </c>
      <c r="N9" s="12">
        <v>7.1999999999999995E-2</v>
      </c>
      <c r="O9" s="12">
        <v>6.9945725459678296E-2</v>
      </c>
      <c r="P9" s="20">
        <f t="shared" si="5"/>
        <v>7.971143136491958E-2</v>
      </c>
    </row>
    <row r="10" spans="1:16" ht="14.5" x14ac:dyDescent="0.35">
      <c r="A10" s="2" t="s">
        <v>61</v>
      </c>
      <c r="B10" s="2"/>
      <c r="C10" s="12">
        <v>7.3756458504632711E-3</v>
      </c>
      <c r="D10" s="12">
        <v>7.55357987067514E-3</v>
      </c>
      <c r="E10" s="12">
        <v>7.6849906949103845E-3</v>
      </c>
      <c r="F10" s="12">
        <v>7.8885496876348691E-3</v>
      </c>
      <c r="G10" s="12">
        <f t="shared" si="0"/>
        <v>7.6256915259209166E-3</v>
      </c>
      <c r="H10" s="10">
        <f t="shared" si="1"/>
        <v>46.792203622216562</v>
      </c>
      <c r="I10" s="10">
        <f t="shared" si="2"/>
        <v>49.192991050966675</v>
      </c>
      <c r="J10" s="10">
        <f t="shared" si="3"/>
        <v>53.21733096374323</v>
      </c>
      <c r="K10" s="10">
        <f t="shared" si="4"/>
        <v>58.813949936627402</v>
      </c>
      <c r="L10" s="12">
        <v>8.09E-2</v>
      </c>
      <c r="M10" s="12">
        <v>8.8700000000000001E-2</v>
      </c>
      <c r="N10" s="12">
        <v>7.6100000000000001E-2</v>
      </c>
      <c r="O10" s="12">
        <v>8.6600740503192372E-2</v>
      </c>
      <c r="P10" s="20">
        <f t="shared" si="5"/>
        <v>8.307518512579809E-2</v>
      </c>
    </row>
    <row r="11" spans="1:16" ht="14.5" x14ac:dyDescent="0.35">
      <c r="A11" s="2" t="s">
        <v>62</v>
      </c>
      <c r="B11" s="2"/>
      <c r="C11" s="12">
        <v>1.2827778601377625E-2</v>
      </c>
      <c r="D11" s="12">
        <v>1.3232595383644623E-2</v>
      </c>
      <c r="E11" s="12">
        <v>1.4112495465388356E-2</v>
      </c>
      <c r="F11" s="12">
        <v>1.4643302583918156E-2</v>
      </c>
      <c r="G11" s="12">
        <f t="shared" si="0"/>
        <v>1.370404300858219E-2</v>
      </c>
      <c r="H11" s="10">
        <f t="shared" si="1"/>
        <v>81.381351613929851</v>
      </c>
      <c r="I11" s="10">
        <f t="shared" si="2"/>
        <v>86.177806739800957</v>
      </c>
      <c r="J11" s="10">
        <f t="shared" si="3"/>
        <v>97.726773098539908</v>
      </c>
      <c r="K11" s="10">
        <f t="shared" si="4"/>
        <v>109.17475317768603</v>
      </c>
      <c r="L11" s="12">
        <v>6.0400000000000002E-2</v>
      </c>
      <c r="M11" s="12">
        <v>9.6600000000000005E-2</v>
      </c>
      <c r="N11" s="12">
        <v>0.128</v>
      </c>
      <c r="O11" s="12">
        <v>9.837691973667681E-2</v>
      </c>
      <c r="P11" s="20">
        <f t="shared" si="5"/>
        <v>9.5844229934169217E-2</v>
      </c>
    </row>
    <row r="12" spans="1:16" ht="14.5" x14ac:dyDescent="0.35">
      <c r="A12" s="2" t="s">
        <v>63</v>
      </c>
      <c r="B12" s="2"/>
      <c r="C12" s="12">
        <v>7.6114931574042435E-2</v>
      </c>
      <c r="D12" s="12">
        <v>7.6472560267938014E-2</v>
      </c>
      <c r="E12" s="12">
        <v>7.738114164887068E-2</v>
      </c>
      <c r="F12" s="12">
        <v>7.8249200647605766E-2</v>
      </c>
      <c r="G12" s="12">
        <f t="shared" si="0"/>
        <v>7.705445853461422E-2</v>
      </c>
      <c r="H12" s="10">
        <f t="shared" si="1"/>
        <v>482.88454314546129</v>
      </c>
      <c r="I12" s="10">
        <f t="shared" si="2"/>
        <v>498.03060764735704</v>
      </c>
      <c r="J12" s="10">
        <f t="shared" si="3"/>
        <v>535.8520249357656</v>
      </c>
      <c r="K12" s="10">
        <f t="shared" si="4"/>
        <v>583.39552284029605</v>
      </c>
      <c r="L12" s="12">
        <v>7.8100000000000003E-2</v>
      </c>
      <c r="M12" s="12">
        <v>6.8000000000000005E-2</v>
      </c>
      <c r="N12" s="12">
        <v>6.93E-2</v>
      </c>
      <c r="O12" s="12">
        <v>7.0436610457260199E-2</v>
      </c>
      <c r="P12" s="20">
        <f t="shared" si="5"/>
        <v>7.1459152614315055E-2</v>
      </c>
    </row>
    <row r="13" spans="1:16" ht="14.5" x14ac:dyDescent="0.35">
      <c r="A13" s="2" t="s">
        <v>64</v>
      </c>
      <c r="B13" s="2"/>
      <c r="C13" s="12">
        <v>2.0174281687990292E-2</v>
      </c>
      <c r="D13" s="12">
        <v>2.0191092911069474E-2</v>
      </c>
      <c r="E13" s="12">
        <v>2.0454012402020553E-2</v>
      </c>
      <c r="F13" s="12">
        <v>2.0639959586370188E-2</v>
      </c>
      <c r="G13" s="12">
        <f t="shared" si="0"/>
        <v>2.0364836646862627E-2</v>
      </c>
      <c r="H13" s="10">
        <f t="shared" si="1"/>
        <v>127.9886691708636</v>
      </c>
      <c r="I13" s="10">
        <f t="shared" si="2"/>
        <v>131.49530022705639</v>
      </c>
      <c r="J13" s="10">
        <f t="shared" si="3"/>
        <v>141.64076324200801</v>
      </c>
      <c r="K13" s="10">
        <f t="shared" si="4"/>
        <v>153.88348909173743</v>
      </c>
      <c r="L13" s="12">
        <v>0.1305</v>
      </c>
      <c r="M13" s="12">
        <v>7.0499999999999993E-2</v>
      </c>
      <c r="N13" s="12">
        <v>7.1400000000000005E-2</v>
      </c>
      <c r="O13" s="12">
        <v>6.8185073401367036E-2</v>
      </c>
      <c r="P13" s="20">
        <f t="shared" si="5"/>
        <v>8.5146268350341767E-2</v>
      </c>
    </row>
    <row r="14" spans="1:16" ht="14.5" x14ac:dyDescent="0.35">
      <c r="A14" s="2" t="s">
        <v>65</v>
      </c>
      <c r="B14" s="2"/>
      <c r="C14" s="12">
        <v>2.0719989702369504E-2</v>
      </c>
      <c r="D14" s="12">
        <v>2.1065257603128357E-2</v>
      </c>
      <c r="E14" s="12">
        <v>2.1516074486517232E-2</v>
      </c>
      <c r="F14" s="12">
        <v>2.1534244875546948E-2</v>
      </c>
      <c r="G14" s="12">
        <f t="shared" si="0"/>
        <v>2.1208891666890509E-2</v>
      </c>
      <c r="H14" s="10">
        <f t="shared" si="1"/>
        <v>131.45072267028749</v>
      </c>
      <c r="I14" s="10">
        <f t="shared" si="2"/>
        <v>137.18833275067755</v>
      </c>
      <c r="J14" s="10">
        <f t="shared" si="3"/>
        <v>148.99537324721399</v>
      </c>
      <c r="K14" s="10">
        <f t="shared" si="4"/>
        <v>160.55093143657658</v>
      </c>
      <c r="L14" s="12">
        <v>9.0899999999999995E-2</v>
      </c>
      <c r="M14" s="12">
        <v>8.0699999999999994E-2</v>
      </c>
      <c r="N14" s="12">
        <v>8.0299999999999996E-2</v>
      </c>
      <c r="O14" s="12">
        <v>5.9455660029546657E-2</v>
      </c>
      <c r="P14" s="20">
        <f t="shared" si="5"/>
        <v>7.7838915007386655E-2</v>
      </c>
    </row>
    <row r="15" spans="1:16" ht="14.5" x14ac:dyDescent="0.35">
      <c r="A15" s="2" t="s">
        <v>66</v>
      </c>
      <c r="B15" s="2"/>
      <c r="C15" s="12">
        <v>2.7653215700452548E-3</v>
      </c>
      <c r="D15" s="12">
        <v>2.766882184465737E-3</v>
      </c>
      <c r="E15" s="12">
        <v>2.7950262539477616E-3</v>
      </c>
      <c r="F15" s="12">
        <v>2.7927116416691096E-3</v>
      </c>
      <c r="G15" s="12">
        <f t="shared" si="0"/>
        <v>2.7799854125319656E-3</v>
      </c>
      <c r="H15" s="10">
        <f t="shared" si="1"/>
        <v>17.543614838602601</v>
      </c>
      <c r="I15" s="10">
        <f t="shared" si="2"/>
        <v>18.019430901620492</v>
      </c>
      <c r="J15" s="10">
        <f t="shared" si="3"/>
        <v>19.355109604387618</v>
      </c>
      <c r="K15" s="10">
        <f t="shared" si="4"/>
        <v>20.821368842744629</v>
      </c>
      <c r="L15" s="12">
        <v>5.8500000000000003E-2</v>
      </c>
      <c r="M15" s="12">
        <v>6.3600000000000004E-2</v>
      </c>
      <c r="N15" s="12">
        <v>6.8400000000000002E-2</v>
      </c>
      <c r="O15" s="12">
        <v>5.7685087243127417E-2</v>
      </c>
      <c r="P15" s="20">
        <f t="shared" si="5"/>
        <v>6.2046271810781858E-2</v>
      </c>
    </row>
    <row r="16" spans="1:16" ht="14.5" x14ac:dyDescent="0.35">
      <c r="A16" s="2" t="s">
        <v>67</v>
      </c>
      <c r="B16" s="2"/>
      <c r="C16" s="12">
        <v>4.3643618725580764E-2</v>
      </c>
      <c r="D16" s="12">
        <v>4.1213726216476475E-2</v>
      </c>
      <c r="E16" s="12">
        <v>4.1323534983714751E-2</v>
      </c>
      <c r="F16" s="12">
        <v>4.0665755715552053E-2</v>
      </c>
      <c r="G16" s="12">
        <f t="shared" si="0"/>
        <v>4.1711658910331011E-2</v>
      </c>
      <c r="H16" s="10">
        <f t="shared" si="1"/>
        <v>276.88166373789318</v>
      </c>
      <c r="I16" s="10">
        <f t="shared" si="2"/>
        <v>268.40604053385169</v>
      </c>
      <c r="J16" s="10">
        <f t="shared" si="3"/>
        <v>286.15886799662724</v>
      </c>
      <c r="K16" s="10">
        <f t="shared" si="4"/>
        <v>303.18801497042705</v>
      </c>
      <c r="L16" s="12">
        <v>1.6899999999999998E-2</v>
      </c>
      <c r="M16" s="12">
        <v>8.8000000000000005E-3</v>
      </c>
      <c r="N16" s="12">
        <v>6.0499999999999998E-2</v>
      </c>
      <c r="O16" s="12">
        <v>4.1711740796687817E-2</v>
      </c>
      <c r="P16" s="20">
        <f t="shared" si="5"/>
        <v>3.1977935199171956E-2</v>
      </c>
    </row>
    <row r="17" spans="1:16" ht="14.5" x14ac:dyDescent="0.35">
      <c r="A17" s="2" t="s">
        <v>68</v>
      </c>
      <c r="B17" s="2"/>
      <c r="C17" s="12">
        <v>2.595493895926064E-2</v>
      </c>
      <c r="D17" s="12">
        <v>2.6367996164659655E-2</v>
      </c>
      <c r="E17" s="12">
        <v>2.6914866819299457E-2</v>
      </c>
      <c r="F17" s="12">
        <v>2.7053140313790719E-2</v>
      </c>
      <c r="G17" s="12">
        <f t="shared" si="0"/>
        <v>2.6572735564252617E-2</v>
      </c>
      <c r="H17" s="10">
        <f t="shared" si="1"/>
        <v>164.66202599839337</v>
      </c>
      <c r="I17" s="10">
        <f t="shared" si="2"/>
        <v>171.72262974219259</v>
      </c>
      <c r="J17" s="10">
        <f t="shared" si="3"/>
        <v>186.38114634495767</v>
      </c>
      <c r="K17" s="10">
        <f t="shared" si="4"/>
        <v>201.6976634549012</v>
      </c>
      <c r="L17" s="12">
        <v>8.7400000000000005E-2</v>
      </c>
      <c r="M17" s="12">
        <v>7.9899999999999999E-2</v>
      </c>
      <c r="N17" s="12">
        <v>7.9600000000000004E-2</v>
      </c>
      <c r="O17" s="12">
        <v>6.3999998002183561E-2</v>
      </c>
      <c r="P17" s="20">
        <f t="shared" si="5"/>
        <v>7.7724999500545899E-2</v>
      </c>
    </row>
    <row r="18" spans="1:16" ht="14.5" x14ac:dyDescent="0.35">
      <c r="A18" s="2" t="s">
        <v>69</v>
      </c>
      <c r="B18" s="2"/>
      <c r="C18" s="12">
        <v>8.1757380251283769E-3</v>
      </c>
      <c r="D18" s="12">
        <v>8.4360502747053701E-3</v>
      </c>
      <c r="E18" s="12">
        <v>8.7050935054108908E-3</v>
      </c>
      <c r="F18" s="12">
        <v>8.9027098874291753E-3</v>
      </c>
      <c r="G18" s="12">
        <f t="shared" si="0"/>
        <v>8.5548979231684537E-3</v>
      </c>
      <c r="H18" s="10">
        <f t="shared" si="1"/>
        <v>51.868108392118188</v>
      </c>
      <c r="I18" s="10">
        <f t="shared" si="2"/>
        <v>54.940114856029709</v>
      </c>
      <c r="J18" s="10">
        <f t="shared" si="3"/>
        <v>60.281379710009553</v>
      </c>
      <c r="K18" s="10">
        <f t="shared" si="4"/>
        <v>66.375132863815836</v>
      </c>
      <c r="L18" s="12">
        <v>9.0999999999999998E-2</v>
      </c>
      <c r="M18" s="12">
        <v>9.69E-2</v>
      </c>
      <c r="N18" s="12">
        <v>9.1399999999999995E-2</v>
      </c>
      <c r="O18" s="12">
        <v>8.2592360518330785E-2</v>
      </c>
      <c r="P18" s="20">
        <f t="shared" si="5"/>
        <v>9.0473090129582698E-2</v>
      </c>
    </row>
    <row r="19" spans="1:16" ht="14.5" x14ac:dyDescent="0.35">
      <c r="A19" s="2" t="s">
        <v>70</v>
      </c>
      <c r="B19" s="2"/>
      <c r="C19" s="12">
        <v>1.9542411954940605E-2</v>
      </c>
      <c r="D19" s="12">
        <v>1.9732848890561715E-2</v>
      </c>
      <c r="E19" s="12">
        <v>1.9973101497476796E-2</v>
      </c>
      <c r="F19" s="12">
        <v>1.9500479964851436E-2</v>
      </c>
      <c r="G19" s="12">
        <f t="shared" si="0"/>
        <v>1.9687210576957638E-2</v>
      </c>
      <c r="H19" s="10">
        <f t="shared" si="1"/>
        <v>123.97999280393643</v>
      </c>
      <c r="I19" s="10">
        <f t="shared" si="2"/>
        <v>128.51096771373878</v>
      </c>
      <c r="J19" s="10">
        <f t="shared" si="3"/>
        <v>138.31053217378721</v>
      </c>
      <c r="K19" s="10">
        <f t="shared" si="4"/>
        <v>145.387973430746</v>
      </c>
      <c r="L19" s="12">
        <v>4.2700000000000002E-2</v>
      </c>
      <c r="M19" s="12">
        <v>7.3400000000000007E-2</v>
      </c>
      <c r="N19" s="12">
        <v>7.0599999999999996E-2</v>
      </c>
      <c r="O19" s="12">
        <v>3.3513060283246986E-2</v>
      </c>
      <c r="P19" s="20">
        <f t="shared" si="5"/>
        <v>5.5053265070811749E-2</v>
      </c>
    </row>
    <row r="20" spans="1:16" ht="14.5" x14ac:dyDescent="0.35">
      <c r="A20" s="8" t="s">
        <v>77</v>
      </c>
      <c r="B20" s="21">
        <f>5003771.8/1000</f>
        <v>5003.7717999999995</v>
      </c>
      <c r="C20" s="8">
        <v>6344.15</v>
      </c>
      <c r="D20" s="8">
        <v>6512.54</v>
      </c>
      <c r="E20" s="8">
        <v>6924.84</v>
      </c>
      <c r="F20" s="8">
        <v>7455.61</v>
      </c>
      <c r="G20" s="21">
        <f>5003771.8/1000</f>
        <v>5003.7717999999995</v>
      </c>
      <c r="H20" s="21">
        <f t="shared" ref="H20:K20" si="6">SUM(H3:H19)</f>
        <v>6344.149996803766</v>
      </c>
      <c r="I20" s="21">
        <f t="shared" si="6"/>
        <v>6512.5400000000018</v>
      </c>
      <c r="J20" s="21">
        <f t="shared" si="6"/>
        <v>6924.8399999999983</v>
      </c>
      <c r="K20" s="21">
        <f t="shared" si="6"/>
        <v>7455.6100031559754</v>
      </c>
      <c r="L20" s="2"/>
      <c r="M20" s="12"/>
      <c r="N20" s="2"/>
      <c r="O20" s="12"/>
      <c r="P20" s="2"/>
    </row>
    <row r="21" spans="1:16" ht="15.75" customHeight="1" x14ac:dyDescent="0.35">
      <c r="C21" s="5"/>
    </row>
    <row r="22" spans="1:16" ht="15.75" customHeight="1" x14ac:dyDescent="0.35"/>
    <row r="23" spans="1:16" ht="15.75" customHeight="1" x14ac:dyDescent="0.35"/>
    <row r="24" spans="1:16" ht="15.75" customHeight="1" x14ac:dyDescent="0.35">
      <c r="B24" s="5">
        <f>ICOR!B3/$D$24</f>
        <v>0.38027970152415425</v>
      </c>
      <c r="C24" s="1" t="s">
        <v>78</v>
      </c>
      <c r="D24" s="6">
        <f>18562694.7/1000</f>
        <v>18562.6947</v>
      </c>
      <c r="E24" s="6">
        <f t="shared" ref="E24:E33" si="7">B24*$B$20</f>
        <v>1902.8328465989798</v>
      </c>
      <c r="H24" s="61" t="s">
        <v>124</v>
      </c>
      <c r="I24" s="1">
        <f>19848.84</f>
        <v>19848.84</v>
      </c>
    </row>
    <row r="25" spans="1:16" ht="15.75" customHeight="1" x14ac:dyDescent="0.35">
      <c r="B25" s="5">
        <f>ICOR!B4/$D$24</f>
        <v>1.112004497924539E-3</v>
      </c>
      <c r="E25" s="6">
        <f t="shared" si="7"/>
        <v>5.5642167481879667</v>
      </c>
    </row>
    <row r="26" spans="1:16" ht="15.75" customHeight="1" x14ac:dyDescent="0.35">
      <c r="B26" s="5">
        <f>ICOR!B5/$D$24</f>
        <v>7.0951514383307726E-2</v>
      </c>
      <c r="E26" s="6">
        <f t="shared" si="7"/>
        <v>355.02518683848956</v>
      </c>
    </row>
    <row r="27" spans="1:16" ht="15.75" customHeight="1" x14ac:dyDescent="0.35">
      <c r="B27" s="5">
        <f>ICOR!B6/$D$24</f>
        <v>0.18671843479707717</v>
      </c>
      <c r="E27" s="6">
        <f t="shared" si="7"/>
        <v>934.29643857775341</v>
      </c>
    </row>
    <row r="28" spans="1:16" ht="15.75" customHeight="1" x14ac:dyDescent="0.35">
      <c r="B28" s="5">
        <f>ICOR!B7/$D$24</f>
        <v>7.5492692340622294E-2</v>
      </c>
      <c r="E28" s="6">
        <f t="shared" si="7"/>
        <v>377.74820504008181</v>
      </c>
    </row>
    <row r="29" spans="1:16" ht="15.75" customHeight="1" x14ac:dyDescent="0.35">
      <c r="B29" s="5">
        <f>ICOR!B8/$D$24</f>
        <v>2.0308791697145136E-2</v>
      </c>
      <c r="E29" s="6">
        <f t="shared" si="7"/>
        <v>101.62055918624897</v>
      </c>
    </row>
    <row r="30" spans="1:16" ht="15.75" customHeight="1" x14ac:dyDescent="0.35">
      <c r="B30" s="5">
        <f>ICOR!B9/$D$24</f>
        <v>4.5892383286355511E-2</v>
      </c>
      <c r="E30" s="6">
        <f t="shared" si="7"/>
        <v>229.635013323057</v>
      </c>
    </row>
    <row r="31" spans="1:16" ht="15.75" customHeight="1" x14ac:dyDescent="0.35">
      <c r="B31" s="5">
        <f>ICOR!B10/$D$24</f>
        <v>2.5521607054174091E-2</v>
      </c>
      <c r="E31" s="6">
        <f t="shared" si="7"/>
        <v>127.70429766835737</v>
      </c>
    </row>
    <row r="32" spans="1:16" ht="15.75" customHeight="1" x14ac:dyDescent="0.35">
      <c r="B32" s="5">
        <f>ICOR!B11/$D$24</f>
        <v>8.0128129241925205E-3</v>
      </c>
      <c r="E32" s="6">
        <f t="shared" si="7"/>
        <v>40.094287348750065</v>
      </c>
    </row>
    <row r="33" spans="1:6" ht="15.75" customHeight="1" x14ac:dyDescent="0.35">
      <c r="B33" s="5">
        <f>ICOR!B12/$D$24</f>
        <v>1.995461359389809E-2</v>
      </c>
      <c r="E33" s="6">
        <f t="shared" si="7"/>
        <v>99.848332781043908</v>
      </c>
    </row>
    <row r="34" spans="1:6" ht="15.75" customHeight="1" x14ac:dyDescent="0.35"/>
    <row r="35" spans="1:6" ht="15.75" customHeight="1" x14ac:dyDescent="0.35">
      <c r="A35" s="22" t="s">
        <v>79</v>
      </c>
      <c r="B35" s="18">
        <v>2013</v>
      </c>
      <c r="C35" s="18">
        <v>2014</v>
      </c>
      <c r="D35" s="18">
        <v>2015</v>
      </c>
      <c r="E35" s="18">
        <v>2016</v>
      </c>
      <c r="F35" s="18" t="s">
        <v>76</v>
      </c>
    </row>
    <row r="36" spans="1:6" ht="15.75" customHeight="1" x14ac:dyDescent="0.35">
      <c r="A36" s="2" t="s">
        <v>55</v>
      </c>
      <c r="B36" s="20">
        <v>1.6500000000000001E-2</v>
      </c>
      <c r="C36" s="20">
        <v>6.08E-2</v>
      </c>
      <c r="D36" s="20">
        <v>9.64E-2</v>
      </c>
      <c r="E36" s="20">
        <v>3.4175706632537779E-2</v>
      </c>
      <c r="F36" s="20">
        <v>5.1968926658134448E-2</v>
      </c>
    </row>
    <row r="37" spans="1:6" ht="15.75" customHeight="1" x14ac:dyDescent="0.35">
      <c r="A37" s="2" t="s">
        <v>56</v>
      </c>
      <c r="B37" s="20">
        <v>6.9400000000000003E-2</v>
      </c>
      <c r="C37" s="20">
        <v>8.4699999999999998E-2</v>
      </c>
      <c r="D37" s="20">
        <v>8.14E-2</v>
      </c>
      <c r="E37" s="20">
        <v>8.6458379165350249E-2</v>
      </c>
      <c r="F37" s="20">
        <v>8.0489594791337563E-2</v>
      </c>
    </row>
    <row r="38" spans="1:6" ht="15.75" customHeight="1" x14ac:dyDescent="0.35">
      <c r="A38" s="2" t="s">
        <v>57</v>
      </c>
      <c r="B38" s="20">
        <v>3.78E-2</v>
      </c>
      <c r="C38" s="20">
        <v>2.8299999999999999E-2</v>
      </c>
      <c r="D38" s="20">
        <v>4.4999999999999997E-3</v>
      </c>
      <c r="E38" s="20">
        <v>8.94665478443262E-2</v>
      </c>
      <c r="F38" s="20">
        <v>4.0016636961081549E-2</v>
      </c>
    </row>
    <row r="39" spans="1:6" ht="15.75" customHeight="1" x14ac:dyDescent="0.35">
      <c r="A39" s="2" t="s">
        <v>60</v>
      </c>
      <c r="B39" s="20">
        <v>9.8500000000000004E-2</v>
      </c>
      <c r="C39" s="20">
        <v>7.8399999999999997E-2</v>
      </c>
      <c r="D39" s="20">
        <v>7.1999999999999995E-2</v>
      </c>
      <c r="E39" s="20">
        <v>6.9945725459678296E-2</v>
      </c>
      <c r="F39" s="20">
        <v>7.971143136491958E-2</v>
      </c>
    </row>
    <row r="40" spans="1:6" ht="15.75" customHeight="1" x14ac:dyDescent="0.35">
      <c r="A40" s="2" t="s">
        <v>61</v>
      </c>
      <c r="B40" s="20">
        <v>8.09E-2</v>
      </c>
      <c r="C40" s="20">
        <v>8.8700000000000001E-2</v>
      </c>
      <c r="D40" s="20">
        <v>7.6100000000000001E-2</v>
      </c>
      <c r="E40" s="20">
        <v>8.6600740503192372E-2</v>
      </c>
      <c r="F40" s="20">
        <v>8.307518512579809E-2</v>
      </c>
    </row>
    <row r="41" spans="1:6" ht="15.75" customHeight="1" x14ac:dyDescent="0.35">
      <c r="A41" s="2" t="s">
        <v>62</v>
      </c>
      <c r="B41" s="20">
        <v>6.0400000000000002E-2</v>
      </c>
      <c r="C41" s="20">
        <v>9.6600000000000005E-2</v>
      </c>
      <c r="D41" s="20">
        <v>0.128</v>
      </c>
      <c r="E41" s="20">
        <v>9.837691973667681E-2</v>
      </c>
      <c r="F41" s="20">
        <v>9.5844229934169217E-2</v>
      </c>
    </row>
    <row r="42" spans="1:6" ht="15.75" customHeight="1" x14ac:dyDescent="0.35">
      <c r="A42" s="2" t="s">
        <v>64</v>
      </c>
      <c r="B42" s="20">
        <v>0.1305</v>
      </c>
      <c r="C42" s="20">
        <v>7.0499999999999993E-2</v>
      </c>
      <c r="D42" s="20">
        <v>7.1400000000000005E-2</v>
      </c>
      <c r="E42" s="20">
        <v>6.8185073401367036E-2</v>
      </c>
      <c r="F42" s="20">
        <v>8.5146268350341767E-2</v>
      </c>
    </row>
    <row r="43" spans="1:6" ht="15.75" customHeight="1" x14ac:dyDescent="0.35">
      <c r="A43" s="2" t="s">
        <v>66</v>
      </c>
      <c r="B43" s="20">
        <v>5.8500000000000003E-2</v>
      </c>
      <c r="C43" s="20">
        <v>6.3600000000000004E-2</v>
      </c>
      <c r="D43" s="20">
        <v>6.8400000000000002E-2</v>
      </c>
      <c r="E43" s="20">
        <v>5.7685087243127417E-2</v>
      </c>
      <c r="F43" s="20">
        <v>6.2046271810781858E-2</v>
      </c>
    </row>
    <row r="44" spans="1:6" ht="15.75" customHeight="1" x14ac:dyDescent="0.35">
      <c r="A44" s="2" t="s">
        <v>68</v>
      </c>
      <c r="B44" s="20">
        <v>8.7400000000000005E-2</v>
      </c>
      <c r="C44" s="20">
        <v>7.9899999999999999E-2</v>
      </c>
      <c r="D44" s="20">
        <v>7.9600000000000004E-2</v>
      </c>
      <c r="E44" s="20">
        <v>6.3999998002183561E-2</v>
      </c>
      <c r="F44" s="20">
        <v>7.7724999500545899E-2</v>
      </c>
    </row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A2"/>
    <mergeCell ref="B1:F1"/>
    <mergeCell ref="G1:K1"/>
    <mergeCell ref="L1:P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topLeftCell="A6" workbookViewId="0">
      <selection activeCell="F16" sqref="F16"/>
    </sheetView>
  </sheetViews>
  <sheetFormatPr defaultColWidth="14.453125" defaultRowHeight="15" customHeight="1" x14ac:dyDescent="0.35"/>
  <cols>
    <col min="1" max="1" width="51.453125" customWidth="1"/>
    <col min="2" max="2" width="9.81640625" customWidth="1"/>
    <col min="3" max="3" width="9.453125" customWidth="1"/>
    <col min="4" max="4" width="11.453125" customWidth="1"/>
    <col min="5" max="11" width="8.7265625" customWidth="1"/>
    <col min="12" max="12" width="6.26953125" customWidth="1"/>
    <col min="13" max="13" width="10.81640625" customWidth="1"/>
    <col min="14" max="26" width="8.7265625" customWidth="1"/>
  </cols>
  <sheetData>
    <row r="1" spans="1:13" ht="14.5" x14ac:dyDescent="0.35">
      <c r="A1" s="47" t="s">
        <v>80</v>
      </c>
      <c r="B1" s="53">
        <v>2012</v>
      </c>
      <c r="C1" s="43"/>
      <c r="D1" s="53">
        <v>2013</v>
      </c>
      <c r="E1" s="43"/>
      <c r="F1" s="53">
        <v>2014</v>
      </c>
      <c r="G1" s="43"/>
      <c r="H1" s="53">
        <v>2015</v>
      </c>
      <c r="I1" s="43"/>
      <c r="J1" s="53">
        <v>2016</v>
      </c>
      <c r="K1" s="43"/>
    </row>
    <row r="2" spans="1:13" ht="14.5" x14ac:dyDescent="0.35">
      <c r="A2" s="45"/>
      <c r="B2" s="9" t="s">
        <v>81</v>
      </c>
      <c r="C2" s="16" t="s">
        <v>82</v>
      </c>
      <c r="D2" s="9" t="s">
        <v>81</v>
      </c>
      <c r="E2" s="16" t="s">
        <v>82</v>
      </c>
      <c r="F2" s="9" t="s">
        <v>81</v>
      </c>
      <c r="G2" s="16" t="s">
        <v>82</v>
      </c>
      <c r="H2" s="9" t="s">
        <v>81</v>
      </c>
      <c r="I2" s="16" t="s">
        <v>82</v>
      </c>
      <c r="J2" s="9" t="s">
        <v>81</v>
      </c>
      <c r="K2" s="16" t="s">
        <v>82</v>
      </c>
    </row>
    <row r="3" spans="1:13" ht="14.5" x14ac:dyDescent="0.35">
      <c r="A3" s="2" t="s">
        <v>54</v>
      </c>
      <c r="B3" s="10">
        <v>7059.0159999999996</v>
      </c>
      <c r="C3" s="10">
        <v>1902.8328465989798</v>
      </c>
      <c r="D3" s="10">
        <v>7478.6526100000001</v>
      </c>
      <c r="E3" s="10">
        <v>2390.3512052551355</v>
      </c>
      <c r="F3" s="10">
        <v>7851.0616499999996</v>
      </c>
      <c r="G3" s="10">
        <v>2423.2467065769565</v>
      </c>
      <c r="H3" s="10">
        <v>8212.4294900000004</v>
      </c>
      <c r="I3" s="10">
        <v>2548.2847624601909</v>
      </c>
      <c r="J3" s="10">
        <v>8567.5149700000002</v>
      </c>
      <c r="K3" s="10">
        <v>2703.8863726028781</v>
      </c>
      <c r="M3" s="23"/>
    </row>
    <row r="4" spans="1:13" ht="14.5" x14ac:dyDescent="0.35">
      <c r="A4" s="2" t="s">
        <v>58</v>
      </c>
      <c r="B4" s="10">
        <v>20.6418</v>
      </c>
      <c r="C4" s="10">
        <v>5.5642167481879667</v>
      </c>
      <c r="D4" s="10">
        <v>22.27487</v>
      </c>
      <c r="E4" s="10">
        <v>7.1195662010300893</v>
      </c>
      <c r="F4" s="10">
        <v>23.04542</v>
      </c>
      <c r="G4" s="10">
        <v>7.1130173989504613</v>
      </c>
      <c r="H4" s="10">
        <v>24.296979999999998</v>
      </c>
      <c r="I4" s="10">
        <v>7.5392578996498631</v>
      </c>
      <c r="J4" s="10">
        <v>25.631439999999998</v>
      </c>
      <c r="K4" s="10">
        <v>8.089218585420026</v>
      </c>
    </row>
    <row r="5" spans="1:13" ht="14.5" x14ac:dyDescent="0.35">
      <c r="A5" s="2" t="s">
        <v>59</v>
      </c>
      <c r="B5" s="10">
        <v>1317.0513000000001</v>
      </c>
      <c r="C5" s="10">
        <v>355.02518683848956</v>
      </c>
      <c r="D5" s="10">
        <v>2162.7305299999998</v>
      </c>
      <c r="E5" s="10">
        <v>691.25894711501746</v>
      </c>
      <c r="F5" s="10">
        <v>2271.8577200000004</v>
      </c>
      <c r="G5" s="10">
        <v>701.21366806506148</v>
      </c>
      <c r="H5" s="10">
        <v>2309.4810699999998</v>
      </c>
      <c r="I5" s="10">
        <v>716.62294660033137</v>
      </c>
      <c r="J5" s="10">
        <v>2455.9042899999999</v>
      </c>
      <c r="K5" s="10">
        <v>775.07727332841125</v>
      </c>
    </row>
    <row r="6" spans="1:13" ht="14.5" x14ac:dyDescent="0.35">
      <c r="A6" s="2" t="s">
        <v>60</v>
      </c>
      <c r="B6" s="10">
        <v>3465.9973</v>
      </c>
      <c r="C6" s="10">
        <v>934.29643857775341</v>
      </c>
      <c r="D6" s="10">
        <v>3807.2506100000001</v>
      </c>
      <c r="E6" s="10">
        <v>1216.8857893135712</v>
      </c>
      <c r="F6" s="10">
        <v>4105.5492000000004</v>
      </c>
      <c r="G6" s="10">
        <v>1267.1864037126315</v>
      </c>
      <c r="H6" s="10">
        <v>4401.9165999999996</v>
      </c>
      <c r="I6" s="10">
        <v>1365.8975107256074</v>
      </c>
      <c r="J6" s="10">
        <v>4709.81185</v>
      </c>
      <c r="K6" s="10">
        <v>1486.4048820843261</v>
      </c>
    </row>
    <row r="7" spans="1:13" ht="14.5" x14ac:dyDescent="0.35">
      <c r="A7" s="2" t="s">
        <v>63</v>
      </c>
      <c r="B7" s="10">
        <v>1401.3478</v>
      </c>
      <c r="C7" s="10">
        <v>377.74820504008181</v>
      </c>
      <c r="D7" s="10">
        <v>1510.79295</v>
      </c>
      <c r="E7" s="10">
        <v>482.88454314546129</v>
      </c>
      <c r="F7" s="10">
        <v>1613.56621</v>
      </c>
      <c r="G7" s="10">
        <v>498.03060764735704</v>
      </c>
      <c r="H7" s="10">
        <v>1726.9055000000001</v>
      </c>
      <c r="I7" s="10">
        <v>535.8520249357656</v>
      </c>
      <c r="J7" s="10">
        <v>1848.5428700000002</v>
      </c>
      <c r="K7" s="10">
        <v>583.39552284029605</v>
      </c>
    </row>
    <row r="8" spans="1:13" ht="14.5" x14ac:dyDescent="0.35">
      <c r="A8" s="2" t="s">
        <v>65</v>
      </c>
      <c r="B8" s="10">
        <v>376.98590000000002</v>
      </c>
      <c r="C8" s="10">
        <v>101.62055918624897</v>
      </c>
      <c r="D8" s="10">
        <v>411.26772</v>
      </c>
      <c r="E8" s="10">
        <v>131.45072267028749</v>
      </c>
      <c r="F8" s="10">
        <v>444.47560999999996</v>
      </c>
      <c r="G8" s="10">
        <v>137.18833275067755</v>
      </c>
      <c r="H8" s="10">
        <v>480.17160999999999</v>
      </c>
      <c r="I8" s="10">
        <v>148.99537324721399</v>
      </c>
      <c r="J8" s="10">
        <v>508.72053000000005</v>
      </c>
      <c r="K8" s="10">
        <v>160.55093143657658</v>
      </c>
    </row>
    <row r="9" spans="1:13" ht="14.5" x14ac:dyDescent="0.35">
      <c r="A9" s="2" t="s">
        <v>67</v>
      </c>
      <c r="B9" s="10">
        <v>851.88630000000001</v>
      </c>
      <c r="C9" s="10">
        <v>229.635013323057</v>
      </c>
      <c r="D9" s="10">
        <v>866.27512000000002</v>
      </c>
      <c r="E9" s="10">
        <v>276.88166373789318</v>
      </c>
      <c r="F9" s="10">
        <v>869.60703000000001</v>
      </c>
      <c r="G9" s="10">
        <v>268.40604053385169</v>
      </c>
      <c r="H9" s="10">
        <v>922.21229000000005</v>
      </c>
      <c r="I9" s="10">
        <v>286.15886799662724</v>
      </c>
      <c r="J9" s="10">
        <v>960.67936999999995</v>
      </c>
      <c r="K9" s="10">
        <v>303.18801497042705</v>
      </c>
    </row>
    <row r="10" spans="1:13" ht="14.5" x14ac:dyDescent="0.35">
      <c r="A10" s="2" t="s">
        <v>68</v>
      </c>
      <c r="B10" s="10">
        <v>473.74979999999999</v>
      </c>
      <c r="C10" s="10">
        <v>127.70429766835737</v>
      </c>
      <c r="D10" s="10">
        <v>515.17538000000002</v>
      </c>
      <c r="E10" s="10">
        <v>164.66202599839337</v>
      </c>
      <c r="F10" s="10">
        <v>556.36306000000002</v>
      </c>
      <c r="G10" s="10">
        <v>171.72262974219259</v>
      </c>
      <c r="H10" s="10">
        <v>600.6558</v>
      </c>
      <c r="I10" s="10">
        <v>186.38114634495767</v>
      </c>
      <c r="J10" s="10">
        <v>639.09776999999997</v>
      </c>
      <c r="K10" s="10">
        <v>201.6976634549012</v>
      </c>
    </row>
    <row r="11" spans="1:13" ht="14.5" x14ac:dyDescent="0.35">
      <c r="A11" s="2" t="s">
        <v>69</v>
      </c>
      <c r="B11" s="10">
        <v>148.73939999999999</v>
      </c>
      <c r="C11" s="10">
        <v>40.094287348750065</v>
      </c>
      <c r="D11" s="10">
        <v>162.27889999999999</v>
      </c>
      <c r="E11" s="10">
        <v>51.868108392118188</v>
      </c>
      <c r="F11" s="10">
        <v>178.00013000000001</v>
      </c>
      <c r="G11" s="10">
        <v>54.940114856029709</v>
      </c>
      <c r="H11" s="10">
        <v>194.27051</v>
      </c>
      <c r="I11" s="10">
        <v>60.281379710009553</v>
      </c>
      <c r="J11" s="10">
        <v>210.31576999999999</v>
      </c>
      <c r="K11" s="10">
        <v>66.375132863815836</v>
      </c>
    </row>
    <row r="12" spans="1:13" ht="14.5" x14ac:dyDescent="0.35">
      <c r="A12" s="2" t="s">
        <v>70</v>
      </c>
      <c r="B12" s="10">
        <v>370.41140000000001</v>
      </c>
      <c r="C12" s="10">
        <v>99.848332781043908</v>
      </c>
      <c r="D12" s="10">
        <v>387.89416999999997</v>
      </c>
      <c r="E12" s="10">
        <v>123.97999280393643</v>
      </c>
      <c r="F12" s="10">
        <v>416.36187000000001</v>
      </c>
      <c r="G12" s="10">
        <v>128.51096771373878</v>
      </c>
      <c r="H12" s="10">
        <v>445.73727000000002</v>
      </c>
      <c r="I12" s="10">
        <v>138.31053217378721</v>
      </c>
      <c r="J12" s="10">
        <v>460.67528999999996</v>
      </c>
      <c r="K12" s="10">
        <v>145.387973430746</v>
      </c>
    </row>
    <row r="15" spans="1:13" ht="43.5" x14ac:dyDescent="0.35">
      <c r="A15" s="22" t="s">
        <v>80</v>
      </c>
      <c r="B15" s="24" t="s">
        <v>83</v>
      </c>
      <c r="C15" s="25" t="s">
        <v>84</v>
      </c>
      <c r="D15" s="25" t="s">
        <v>85</v>
      </c>
      <c r="E15" s="25" t="s">
        <v>86</v>
      </c>
      <c r="F15" s="25" t="s">
        <v>87</v>
      </c>
    </row>
    <row r="16" spans="1:13" ht="14.5" x14ac:dyDescent="0.35">
      <c r="A16" s="2" t="s">
        <v>54</v>
      </c>
      <c r="B16" s="10">
        <f t="shared" ref="B16:B25" si="0">E3/(D3-B3)</f>
        <v>5.6962408624336494</v>
      </c>
      <c r="C16" s="10">
        <f t="shared" ref="C16:C25" si="1">G3/(F3-D3)</f>
        <v>6.5069492045009421</v>
      </c>
      <c r="D16" s="10">
        <f t="shared" ref="D16:D25" si="2">I3/(H3-F3)</f>
        <v>7.0517751730762352</v>
      </c>
      <c r="E16" s="10">
        <f t="shared" ref="E16:E25" si="3">K3/(J3-H3)</f>
        <v>7.6147477858088708</v>
      </c>
      <c r="F16" s="10">
        <f t="shared" ref="F16:F25" si="4">AVERAGE(B16:E16)</f>
        <v>6.7174282564549239</v>
      </c>
      <c r="H16" s="6"/>
      <c r="J16" s="14"/>
    </row>
    <row r="17" spans="1:13" ht="14.5" x14ac:dyDescent="0.35">
      <c r="A17" s="2" t="s">
        <v>58</v>
      </c>
      <c r="B17" s="10">
        <f t="shared" si="0"/>
        <v>4.3596209599282876</v>
      </c>
      <c r="C17" s="10">
        <f t="shared" si="1"/>
        <v>9.2310912970611394</v>
      </c>
      <c r="D17" s="10">
        <f t="shared" si="2"/>
        <v>6.0238885068633357</v>
      </c>
      <c r="E17" s="10">
        <f t="shared" si="3"/>
        <v>6.0617917250573461</v>
      </c>
      <c r="F17" s="10">
        <f t="shared" si="4"/>
        <v>6.4190981222275276</v>
      </c>
    </row>
    <row r="18" spans="1:13" ht="14.5" x14ac:dyDescent="0.35">
      <c r="A18" s="2" t="s">
        <v>59</v>
      </c>
      <c r="B18" s="10">
        <f t="shared" si="0"/>
        <v>0.81740088037283087</v>
      </c>
      <c r="C18" s="10">
        <f t="shared" si="1"/>
        <v>6.4256549450696712</v>
      </c>
      <c r="D18" s="10">
        <f t="shared" si="2"/>
        <v>19.047292349042362</v>
      </c>
      <c r="E18" s="10">
        <f t="shared" si="3"/>
        <v>5.293404101674656</v>
      </c>
      <c r="F18" s="10">
        <f t="shared" si="4"/>
        <v>7.8959380690398797</v>
      </c>
    </row>
    <row r="19" spans="1:13" ht="14.5" x14ac:dyDescent="0.35">
      <c r="A19" s="2" t="s">
        <v>60</v>
      </c>
      <c r="B19" s="10">
        <f t="shared" si="0"/>
        <v>3.5659310947447542</v>
      </c>
      <c r="C19" s="10">
        <f t="shared" si="1"/>
        <v>4.2480469106898227</v>
      </c>
      <c r="D19" s="10">
        <f t="shared" si="2"/>
        <v>4.6087981023743207</v>
      </c>
      <c r="E19" s="10">
        <f t="shared" si="3"/>
        <v>4.8276317419132768</v>
      </c>
      <c r="F19" s="10">
        <f t="shared" si="4"/>
        <v>4.3126019624305432</v>
      </c>
    </row>
    <row r="20" spans="1:13" ht="14.5" x14ac:dyDescent="0.35">
      <c r="A20" s="2" t="s">
        <v>63</v>
      </c>
      <c r="B20" s="10">
        <f t="shared" si="0"/>
        <v>4.4121145902350287</v>
      </c>
      <c r="C20" s="10">
        <f t="shared" si="1"/>
        <v>4.8459162203024144</v>
      </c>
      <c r="D20" s="10">
        <f t="shared" si="2"/>
        <v>4.72785761174051</v>
      </c>
      <c r="E20" s="10">
        <f t="shared" si="3"/>
        <v>4.7961865900281744</v>
      </c>
      <c r="F20" s="10">
        <f t="shared" si="4"/>
        <v>4.6955187530765317</v>
      </c>
    </row>
    <row r="21" spans="1:13" ht="15.75" customHeight="1" x14ac:dyDescent="0.35">
      <c r="A21" s="2" t="s">
        <v>65</v>
      </c>
      <c r="B21" s="10">
        <f t="shared" si="0"/>
        <v>3.8344149368466307</v>
      </c>
      <c r="C21" s="10">
        <f t="shared" si="1"/>
        <v>4.1311969158738391</v>
      </c>
      <c r="D21" s="10">
        <f t="shared" si="2"/>
        <v>4.1740075427838939</v>
      </c>
      <c r="E21" s="10">
        <f t="shared" si="3"/>
        <v>5.6237129613511199</v>
      </c>
      <c r="F21" s="10">
        <f t="shared" si="4"/>
        <v>4.4408330892138705</v>
      </c>
    </row>
    <row r="22" spans="1:13" ht="15.75" customHeight="1" x14ac:dyDescent="0.35">
      <c r="A22" s="2" t="s">
        <v>67</v>
      </c>
      <c r="B22" s="10">
        <f t="shared" si="0"/>
        <v>19.242833237047442</v>
      </c>
      <c r="C22" s="10">
        <f t="shared" si="1"/>
        <v>80.556209661681208</v>
      </c>
      <c r="D22" s="10">
        <f t="shared" si="2"/>
        <v>5.4397386876640663</v>
      </c>
      <c r="E22" s="10">
        <f t="shared" si="3"/>
        <v>7.8817527862896757</v>
      </c>
      <c r="F22" s="10">
        <f t="shared" si="4"/>
        <v>28.2801335931706</v>
      </c>
    </row>
    <row r="23" spans="1:13" ht="15.75" customHeight="1" x14ac:dyDescent="0.35">
      <c r="A23" s="2" t="s">
        <v>68</v>
      </c>
      <c r="B23" s="10">
        <f t="shared" si="0"/>
        <v>3.9748876418481838</v>
      </c>
      <c r="C23" s="10">
        <f t="shared" si="1"/>
        <v>4.1692717274241371</v>
      </c>
      <c r="D23" s="10">
        <f t="shared" si="2"/>
        <v>4.2079389612148121</v>
      </c>
      <c r="E23" s="10">
        <f t="shared" si="3"/>
        <v>5.2468087211685912</v>
      </c>
      <c r="F23" s="10">
        <f t="shared" si="4"/>
        <v>4.3997267629139314</v>
      </c>
    </row>
    <row r="24" spans="1:13" ht="15.75" customHeight="1" x14ac:dyDescent="0.35">
      <c r="A24" s="2" t="s">
        <v>69</v>
      </c>
      <c r="B24" s="10">
        <f t="shared" si="0"/>
        <v>3.8308732517536228</v>
      </c>
      <c r="C24" s="10">
        <f t="shared" si="1"/>
        <v>3.4946448118900135</v>
      </c>
      <c r="D24" s="10">
        <f t="shared" si="2"/>
        <v>3.7049767559214715</v>
      </c>
      <c r="E24" s="10">
        <f t="shared" si="3"/>
        <v>4.1367439894283979</v>
      </c>
      <c r="F24" s="10">
        <f t="shared" si="4"/>
        <v>3.7918097022483765</v>
      </c>
    </row>
    <row r="25" spans="1:13" ht="15.75" customHeight="1" x14ac:dyDescent="0.35">
      <c r="A25" s="2" t="s">
        <v>70</v>
      </c>
      <c r="B25" s="10">
        <f t="shared" si="0"/>
        <v>7.091553157991366</v>
      </c>
      <c r="C25" s="10">
        <f t="shared" si="1"/>
        <v>4.5142729378818318</v>
      </c>
      <c r="D25" s="10">
        <f t="shared" si="2"/>
        <v>4.7083795343650516</v>
      </c>
      <c r="E25" s="10">
        <f t="shared" si="3"/>
        <v>9.7327472737850531</v>
      </c>
      <c r="F25" s="10">
        <f t="shared" si="4"/>
        <v>6.511738226005825</v>
      </c>
    </row>
    <row r="26" spans="1:13" ht="15.75" customHeight="1" x14ac:dyDescent="0.35"/>
    <row r="27" spans="1:13" ht="15.75" customHeight="1" x14ac:dyDescent="0.35">
      <c r="A27" s="44" t="s">
        <v>46</v>
      </c>
      <c r="B27" s="52">
        <v>2013</v>
      </c>
      <c r="C27" s="43"/>
      <c r="D27" s="42">
        <v>2014</v>
      </c>
      <c r="E27" s="43"/>
      <c r="F27" s="42">
        <v>2015</v>
      </c>
      <c r="G27" s="43"/>
      <c r="H27" s="42">
        <v>2016</v>
      </c>
      <c r="I27" s="43"/>
      <c r="J27" s="44" t="s">
        <v>88</v>
      </c>
      <c r="K27" s="44" t="s">
        <v>89</v>
      </c>
      <c r="L27" s="44" t="s">
        <v>90</v>
      </c>
      <c r="M27" s="44" t="s">
        <v>76</v>
      </c>
    </row>
    <row r="28" spans="1:13" ht="15.75" customHeight="1" x14ac:dyDescent="0.35">
      <c r="A28" s="45"/>
      <c r="B28" s="9" t="s">
        <v>71</v>
      </c>
      <c r="C28" s="9" t="s">
        <v>82</v>
      </c>
      <c r="D28" s="9" t="s">
        <v>71</v>
      </c>
      <c r="E28" s="9" t="s">
        <v>82</v>
      </c>
      <c r="F28" s="9" t="s">
        <v>71</v>
      </c>
      <c r="G28" s="9" t="s">
        <v>82</v>
      </c>
      <c r="H28" s="9" t="s">
        <v>71</v>
      </c>
      <c r="I28" s="9" t="s">
        <v>82</v>
      </c>
      <c r="J28" s="45"/>
      <c r="K28" s="45"/>
      <c r="L28" s="45"/>
      <c r="M28" s="45"/>
    </row>
    <row r="29" spans="1:13" ht="15.75" customHeight="1" x14ac:dyDescent="0.35">
      <c r="A29" s="2" t="s">
        <v>54</v>
      </c>
      <c r="B29" s="10">
        <v>7478.6526100000001</v>
      </c>
      <c r="C29" s="10">
        <v>2390.3512052551355</v>
      </c>
      <c r="D29" s="10">
        <v>7851.0616500000006</v>
      </c>
      <c r="E29" s="10">
        <v>2423.2467065769565</v>
      </c>
      <c r="F29" s="10">
        <v>8212.4294900000004</v>
      </c>
      <c r="G29" s="10">
        <v>2548.2847624601909</v>
      </c>
      <c r="H29" s="10">
        <v>8567.5149700000002</v>
      </c>
      <c r="I29" s="10">
        <v>2703.8863726028781</v>
      </c>
      <c r="J29" s="10">
        <v>6.5069492045009261</v>
      </c>
      <c r="K29" s="10">
        <v>7.051775173076253</v>
      </c>
      <c r="L29" s="10">
        <v>7.6147477858088708</v>
      </c>
      <c r="M29" s="10">
        <f t="shared" ref="M29:M45" si="5">AVERAGE(J29:L29)</f>
        <v>7.0578240544620163</v>
      </c>
    </row>
    <row r="30" spans="1:13" ht="15.75" customHeight="1" x14ac:dyDescent="0.35">
      <c r="A30" s="2" t="s">
        <v>55</v>
      </c>
      <c r="B30" s="10">
        <v>244.44557999999998</v>
      </c>
      <c r="C30" s="10">
        <v>78.130489172740241</v>
      </c>
      <c r="D30" s="10">
        <v>259.31632000000002</v>
      </c>
      <c r="E30" s="10">
        <v>80.038528088956753</v>
      </c>
      <c r="F30" s="10">
        <v>284.31891999999999</v>
      </c>
      <c r="G30" s="10">
        <v>88.223049269082736</v>
      </c>
      <c r="H30" s="10">
        <v>294.03571999999997</v>
      </c>
      <c r="I30" s="10">
        <v>92.796940437266059</v>
      </c>
      <c r="J30" s="10">
        <v>5.3822827975579246</v>
      </c>
      <c r="K30" s="10">
        <v>3.528555001043205</v>
      </c>
      <c r="L30" s="10">
        <v>9.550154416810706</v>
      </c>
      <c r="M30" s="10">
        <f t="shared" si="5"/>
        <v>6.153664071803945</v>
      </c>
    </row>
    <row r="31" spans="1:13" ht="15.75" customHeight="1" x14ac:dyDescent="0.35">
      <c r="A31" s="2" t="s">
        <v>56</v>
      </c>
      <c r="B31" s="10">
        <v>1408.4728700000001</v>
      </c>
      <c r="C31" s="10">
        <v>450.18066728649137</v>
      </c>
      <c r="D31" s="10">
        <v>1571.80286</v>
      </c>
      <c r="E31" s="10">
        <v>485.1402617483256</v>
      </c>
      <c r="F31" s="10">
        <v>1693.00317</v>
      </c>
      <c r="G31" s="10">
        <v>525.33226448532946</v>
      </c>
      <c r="H31" s="10">
        <v>1839.3774799999999</v>
      </c>
      <c r="I31" s="10">
        <v>580.50294859824692</v>
      </c>
      <c r="J31" s="10">
        <v>2.970307300871847</v>
      </c>
      <c r="K31" s="10">
        <v>4.3344135380951556</v>
      </c>
      <c r="L31" s="10">
        <v>3.9658800003788044</v>
      </c>
      <c r="M31" s="10">
        <f t="shared" si="5"/>
        <v>3.7568669464486022</v>
      </c>
    </row>
    <row r="32" spans="1:13" ht="15.75" customHeight="1" x14ac:dyDescent="0.35">
      <c r="A32" s="2" t="s">
        <v>57</v>
      </c>
      <c r="B32" s="10">
        <v>14.98776</v>
      </c>
      <c r="C32" s="10">
        <v>4.7904364660781731</v>
      </c>
      <c r="D32" s="10">
        <v>15.931179999999999</v>
      </c>
      <c r="E32" s="10">
        <v>4.9171922458263557</v>
      </c>
      <c r="F32" s="10">
        <v>16.18102</v>
      </c>
      <c r="G32" s="10">
        <v>5.0209072427681321</v>
      </c>
      <c r="H32" s="10">
        <v>17.628679999999999</v>
      </c>
      <c r="I32" s="10">
        <v>5.5635674738689005</v>
      </c>
      <c r="J32" s="10">
        <v>5.2120924358465555</v>
      </c>
      <c r="K32" s="10">
        <v>20.096490725136558</v>
      </c>
      <c r="L32" s="10">
        <v>3.8431451265275713</v>
      </c>
      <c r="M32" s="10">
        <f t="shared" si="5"/>
        <v>9.7172427625035613</v>
      </c>
    </row>
    <row r="33" spans="1:13" ht="15.75" customHeight="1" x14ac:dyDescent="0.35">
      <c r="A33" s="2" t="s">
        <v>58</v>
      </c>
      <c r="B33" s="10">
        <v>22.27487</v>
      </c>
      <c r="C33" s="10">
        <v>7.1195662010300893</v>
      </c>
      <c r="D33" s="10">
        <v>23.04542</v>
      </c>
      <c r="E33" s="10">
        <v>7.1130173989504613</v>
      </c>
      <c r="F33" s="10">
        <v>24.296979999999998</v>
      </c>
      <c r="G33" s="10">
        <v>7.5392578996498631</v>
      </c>
      <c r="H33" s="10">
        <v>25.631439999999998</v>
      </c>
      <c r="I33" s="10">
        <v>8.089218585420026</v>
      </c>
      <c r="J33" s="10">
        <v>9.2310912970611394</v>
      </c>
      <c r="K33" s="10">
        <v>6.0238885068633357</v>
      </c>
      <c r="L33" s="10">
        <v>6.0617917250573461</v>
      </c>
      <c r="M33" s="10">
        <f t="shared" si="5"/>
        <v>7.1055905096606073</v>
      </c>
    </row>
    <row r="34" spans="1:13" ht="15.75" customHeight="1" x14ac:dyDescent="0.35">
      <c r="A34" s="2" t="s">
        <v>59</v>
      </c>
      <c r="B34" s="10">
        <v>2162.7305299999998</v>
      </c>
      <c r="C34" s="10">
        <v>691.25894711501746</v>
      </c>
      <c r="D34" s="10">
        <v>2271.8577200000004</v>
      </c>
      <c r="E34" s="10">
        <v>701.21366806506148</v>
      </c>
      <c r="F34" s="10">
        <v>2309.4810699999998</v>
      </c>
      <c r="G34" s="10">
        <v>716.62294660033137</v>
      </c>
      <c r="H34" s="10">
        <v>2455.9042899999999</v>
      </c>
      <c r="I34" s="10">
        <v>775.07727332841125</v>
      </c>
      <c r="J34" s="10">
        <v>6.4256549450696712</v>
      </c>
      <c r="K34" s="10">
        <v>19.047292349042362</v>
      </c>
      <c r="L34" s="10">
        <v>5.293404101674656</v>
      </c>
      <c r="M34" s="10">
        <f t="shared" si="5"/>
        <v>10.25545046526223</v>
      </c>
    </row>
    <row r="35" spans="1:13" ht="15.75" customHeight="1" x14ac:dyDescent="0.35">
      <c r="A35" s="2" t="s">
        <v>60</v>
      </c>
      <c r="B35" s="10">
        <v>3807.2506100000001</v>
      </c>
      <c r="C35" s="10">
        <v>1216.8857893135712</v>
      </c>
      <c r="D35" s="10">
        <v>4105.5492000000004</v>
      </c>
      <c r="E35" s="10">
        <v>1267.1864037126315</v>
      </c>
      <c r="F35" s="10">
        <v>4401.9165999999996</v>
      </c>
      <c r="G35" s="10">
        <v>1365.8975107256074</v>
      </c>
      <c r="H35" s="10">
        <v>4709.81185</v>
      </c>
      <c r="I35" s="10">
        <v>1486.4048820843261</v>
      </c>
      <c r="J35" s="10">
        <v>4.2480469106898227</v>
      </c>
      <c r="K35" s="10">
        <v>4.6087981023743207</v>
      </c>
      <c r="L35" s="10">
        <v>4.8276317419132768</v>
      </c>
      <c r="M35" s="10">
        <f t="shared" si="5"/>
        <v>4.5614922516591401</v>
      </c>
    </row>
    <row r="36" spans="1:13" ht="15.75" customHeight="1" x14ac:dyDescent="0.35">
      <c r="A36" s="2" t="s">
        <v>61</v>
      </c>
      <c r="B36" s="10">
        <v>146.398</v>
      </c>
      <c r="C36" s="10">
        <v>46.792203622216562</v>
      </c>
      <c r="D36" s="10">
        <v>159.38005999999999</v>
      </c>
      <c r="E36" s="10">
        <v>49.192991050966675</v>
      </c>
      <c r="F36" s="10">
        <v>171.505</v>
      </c>
      <c r="G36" s="10">
        <v>53.21733096374323</v>
      </c>
      <c r="H36" s="10">
        <v>186.35746</v>
      </c>
      <c r="I36" s="10">
        <v>58.813949936627402</v>
      </c>
      <c r="J36" s="10">
        <v>3.7893054762469682</v>
      </c>
      <c r="K36" s="10">
        <v>4.3890799429723515</v>
      </c>
      <c r="L36" s="10">
        <v>3.9598793692511118</v>
      </c>
      <c r="M36" s="10">
        <f t="shared" si="5"/>
        <v>4.0460882628234769</v>
      </c>
    </row>
    <row r="37" spans="1:13" ht="15.75" customHeight="1" x14ac:dyDescent="0.35">
      <c r="A37" s="2" t="s">
        <v>62</v>
      </c>
      <c r="B37" s="10">
        <v>254.6165</v>
      </c>
      <c r="C37" s="10">
        <v>81.381351613929851</v>
      </c>
      <c r="D37" s="10">
        <v>279.20693</v>
      </c>
      <c r="E37" s="10">
        <v>86.177806739800957</v>
      </c>
      <c r="F37" s="10">
        <v>314.94684000000001</v>
      </c>
      <c r="G37" s="10">
        <v>97.726773098539908</v>
      </c>
      <c r="H37" s="10">
        <v>345.93034</v>
      </c>
      <c r="I37" s="10">
        <v>109.17475317768603</v>
      </c>
      <c r="J37" s="10">
        <v>3.5045262217781863</v>
      </c>
      <c r="K37" s="10">
        <v>2.7343877782160022</v>
      </c>
      <c r="L37" s="10">
        <v>3.523641718259269</v>
      </c>
      <c r="M37" s="10">
        <f t="shared" si="5"/>
        <v>3.254185239417819</v>
      </c>
    </row>
    <row r="38" spans="1:13" ht="15.75" customHeight="1" x14ac:dyDescent="0.35">
      <c r="A38" s="2" t="s">
        <v>63</v>
      </c>
      <c r="B38" s="10">
        <v>1510.79295</v>
      </c>
      <c r="C38" s="10">
        <v>482.88454314546129</v>
      </c>
      <c r="D38" s="10">
        <v>1613.56621</v>
      </c>
      <c r="E38" s="10">
        <v>498.03060764735704</v>
      </c>
      <c r="F38" s="10">
        <v>1726.9055000000001</v>
      </c>
      <c r="G38" s="10">
        <v>535.8520249357656</v>
      </c>
      <c r="H38" s="10">
        <v>1848.5428700000002</v>
      </c>
      <c r="I38" s="10">
        <v>583.39552284029605</v>
      </c>
      <c r="J38" s="10">
        <v>4.8459162203024144</v>
      </c>
      <c r="K38" s="10">
        <v>4.72785761174051</v>
      </c>
      <c r="L38" s="10">
        <v>4.7961865900281744</v>
      </c>
      <c r="M38" s="10">
        <f t="shared" si="5"/>
        <v>4.7899868073570326</v>
      </c>
    </row>
    <row r="39" spans="1:13" ht="15.75" customHeight="1" x14ac:dyDescent="0.35">
      <c r="A39" s="2" t="s">
        <v>64</v>
      </c>
      <c r="B39" s="10">
        <v>400.43604999999997</v>
      </c>
      <c r="C39" s="10">
        <v>127.9886691708636</v>
      </c>
      <c r="D39" s="10">
        <v>426.03078999999997</v>
      </c>
      <c r="E39" s="10">
        <v>131.49530022705639</v>
      </c>
      <c r="F39" s="10">
        <v>456.46969999999999</v>
      </c>
      <c r="G39" s="10">
        <v>141.64076324200801</v>
      </c>
      <c r="H39" s="10">
        <v>487.59411999999998</v>
      </c>
      <c r="I39" s="10">
        <v>153.88348909173743</v>
      </c>
      <c r="J39" s="10">
        <v>5.1375907794748601</v>
      </c>
      <c r="K39" s="10">
        <v>4.6532797410290945</v>
      </c>
      <c r="L39" s="10">
        <v>4.944139974069798</v>
      </c>
      <c r="M39" s="10">
        <f t="shared" si="5"/>
        <v>4.9116701648579175</v>
      </c>
    </row>
    <row r="40" spans="1:13" ht="15.75" customHeight="1" x14ac:dyDescent="0.35">
      <c r="A40" s="2" t="s">
        <v>65</v>
      </c>
      <c r="B40" s="10">
        <v>411.26772</v>
      </c>
      <c r="C40" s="10">
        <v>131.45072267028749</v>
      </c>
      <c r="D40" s="10">
        <v>444.47560999999996</v>
      </c>
      <c r="E40" s="10">
        <v>137.18833275067755</v>
      </c>
      <c r="F40" s="10">
        <v>480.17160999999999</v>
      </c>
      <c r="G40" s="10">
        <v>148.99537324721399</v>
      </c>
      <c r="H40" s="10">
        <v>508.72053000000005</v>
      </c>
      <c r="I40" s="10">
        <v>160.55093143657658</v>
      </c>
      <c r="J40" s="10">
        <v>4.1311969158738391</v>
      </c>
      <c r="K40" s="10">
        <v>4.1740075427838939</v>
      </c>
      <c r="L40" s="10">
        <v>5.6237129613511199</v>
      </c>
      <c r="M40" s="10">
        <f t="shared" si="5"/>
        <v>4.6429724733362852</v>
      </c>
    </row>
    <row r="41" spans="1:13" ht="15.75" customHeight="1" x14ac:dyDescent="0.35">
      <c r="A41" s="2" t="s">
        <v>66</v>
      </c>
      <c r="B41" s="10">
        <v>54.888419999999996</v>
      </c>
      <c r="C41" s="10">
        <v>17.543614838602601</v>
      </c>
      <c r="D41" s="10">
        <v>58.381039999999999</v>
      </c>
      <c r="E41" s="10">
        <v>18.019430901620492</v>
      </c>
      <c r="F41" s="10">
        <v>62.376260000000002</v>
      </c>
      <c r="G41" s="10">
        <v>19.355109604387618</v>
      </c>
      <c r="H41" s="10">
        <v>65.974440000000001</v>
      </c>
      <c r="I41" s="10">
        <v>20.821368842744629</v>
      </c>
      <c r="J41" s="10">
        <v>5.1592875553654505</v>
      </c>
      <c r="K41" s="10">
        <v>4.8445666582535134</v>
      </c>
      <c r="L41" s="10">
        <v>5.7866390349411736</v>
      </c>
      <c r="M41" s="10">
        <f t="shared" si="5"/>
        <v>5.2634977495200461</v>
      </c>
    </row>
    <row r="42" spans="1:13" ht="15.75" customHeight="1" x14ac:dyDescent="0.35">
      <c r="A42" s="2" t="s">
        <v>67</v>
      </c>
      <c r="B42" s="10">
        <v>866.27512000000002</v>
      </c>
      <c r="C42" s="10">
        <v>276.88166373789318</v>
      </c>
      <c r="D42" s="10">
        <v>869.60703000000001</v>
      </c>
      <c r="E42" s="10">
        <v>268.40604053385169</v>
      </c>
      <c r="F42" s="10">
        <v>922.21229000000005</v>
      </c>
      <c r="G42" s="10">
        <v>286.15886799662724</v>
      </c>
      <c r="H42" s="10">
        <v>960.67936999999995</v>
      </c>
      <c r="I42" s="10">
        <v>303.18801497042705</v>
      </c>
      <c r="J42" s="10">
        <v>80.556209661681208</v>
      </c>
      <c r="K42" s="10">
        <v>5.4397386876640663</v>
      </c>
      <c r="L42" s="10">
        <v>7.8817527862896757</v>
      </c>
      <c r="M42" s="10">
        <f t="shared" si="5"/>
        <v>31.292567045211651</v>
      </c>
    </row>
    <row r="43" spans="1:13" ht="15.75" customHeight="1" x14ac:dyDescent="0.35">
      <c r="A43" s="2" t="s">
        <v>68</v>
      </c>
      <c r="B43" s="10">
        <v>515.17538000000002</v>
      </c>
      <c r="C43" s="10">
        <v>164.66202599839337</v>
      </c>
      <c r="D43" s="10">
        <v>556.36306000000002</v>
      </c>
      <c r="E43" s="10">
        <v>171.72262974219259</v>
      </c>
      <c r="F43" s="10">
        <v>600.6558</v>
      </c>
      <c r="G43" s="10">
        <v>186.38114634495767</v>
      </c>
      <c r="H43" s="10">
        <v>639.09776999999997</v>
      </c>
      <c r="I43" s="10">
        <v>201.6976634549012</v>
      </c>
      <c r="J43" s="10">
        <v>4.1692717274241371</v>
      </c>
      <c r="K43" s="10">
        <v>4.2079389612148121</v>
      </c>
      <c r="L43" s="10">
        <v>5.2468087211685912</v>
      </c>
      <c r="M43" s="10">
        <f t="shared" si="5"/>
        <v>4.5413398032691807</v>
      </c>
    </row>
    <row r="44" spans="1:13" ht="15.75" customHeight="1" x14ac:dyDescent="0.35">
      <c r="A44" s="2" t="s">
        <v>69</v>
      </c>
      <c r="B44" s="10">
        <v>162.27889999999999</v>
      </c>
      <c r="C44" s="10">
        <v>51.868108392118188</v>
      </c>
      <c r="D44" s="10">
        <v>178.00013000000001</v>
      </c>
      <c r="E44" s="10">
        <v>54.940114856029709</v>
      </c>
      <c r="F44" s="10">
        <v>194.27051</v>
      </c>
      <c r="G44" s="10">
        <v>60.281379710009553</v>
      </c>
      <c r="H44" s="10">
        <v>210.31576999999999</v>
      </c>
      <c r="I44" s="10">
        <v>66.375132863815836</v>
      </c>
      <c r="J44" s="10">
        <v>3.4946448118900135</v>
      </c>
      <c r="K44" s="10">
        <v>3.7049767559214715</v>
      </c>
      <c r="L44" s="10">
        <v>4.1367439894283979</v>
      </c>
      <c r="M44" s="10">
        <f t="shared" si="5"/>
        <v>3.7787885190799613</v>
      </c>
    </row>
    <row r="45" spans="1:13" ht="15.75" customHeight="1" x14ac:dyDescent="0.35">
      <c r="A45" s="2" t="s">
        <v>70</v>
      </c>
      <c r="B45" s="10">
        <v>387.89416999999997</v>
      </c>
      <c r="C45" s="10">
        <v>123.97999280393643</v>
      </c>
      <c r="D45" s="10">
        <v>416.36187000000001</v>
      </c>
      <c r="E45" s="10">
        <v>128.51096771373878</v>
      </c>
      <c r="F45" s="10">
        <v>445.73727000000002</v>
      </c>
      <c r="G45" s="10">
        <v>138.31053217378721</v>
      </c>
      <c r="H45" s="10">
        <v>460.67528999999996</v>
      </c>
      <c r="I45" s="10">
        <v>145.387973430746</v>
      </c>
      <c r="J45" s="10">
        <v>4.5142729378818318</v>
      </c>
      <c r="K45" s="10">
        <v>4.7083795343650516</v>
      </c>
      <c r="L45" s="10">
        <v>9.7327472737850531</v>
      </c>
      <c r="M45" s="10">
        <f t="shared" si="5"/>
        <v>6.3184665820106458</v>
      </c>
    </row>
    <row r="46" spans="1:13" ht="15.75" customHeight="1" x14ac:dyDescent="0.35">
      <c r="L46" s="26" t="s">
        <v>91</v>
      </c>
      <c r="M46" s="27">
        <f>AVERAGE(M29:M45)</f>
        <v>7.1439819828637718</v>
      </c>
    </row>
    <row r="47" spans="1:13" ht="15.75" customHeight="1" x14ac:dyDescent="0.35"/>
    <row r="48" spans="1:1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K27:K28"/>
    <mergeCell ref="L27:L28"/>
    <mergeCell ref="M27:M28"/>
    <mergeCell ref="A1:A2"/>
    <mergeCell ref="B1:C1"/>
    <mergeCell ref="D1:E1"/>
    <mergeCell ref="F1:G1"/>
    <mergeCell ref="H1:I1"/>
    <mergeCell ref="J1:K1"/>
    <mergeCell ref="A27:A28"/>
    <mergeCell ref="B27:C27"/>
    <mergeCell ref="D27:E27"/>
    <mergeCell ref="F27:G27"/>
    <mergeCell ref="H27:I27"/>
    <mergeCell ref="J27:J2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abSelected="1" topLeftCell="A26" workbookViewId="0">
      <selection activeCell="B33" sqref="B33"/>
    </sheetView>
  </sheetViews>
  <sheetFormatPr defaultColWidth="14.453125" defaultRowHeight="15" customHeight="1" x14ac:dyDescent="0.35"/>
  <cols>
    <col min="1" max="1" width="51.453125" customWidth="1"/>
    <col min="2" max="2" width="9.453125" customWidth="1"/>
    <col min="3" max="3" width="16.08984375" customWidth="1"/>
    <col min="4" max="4" width="13.453125" customWidth="1"/>
    <col min="5" max="5" width="15.7265625" customWidth="1"/>
    <col min="6" max="6" width="15.26953125" customWidth="1"/>
    <col min="7" max="26" width="8.7265625" customWidth="1"/>
  </cols>
  <sheetData>
    <row r="1" spans="1:6" ht="43.5" x14ac:dyDescent="0.35">
      <c r="A1" s="22" t="s">
        <v>80</v>
      </c>
      <c r="B1" s="28" t="s">
        <v>92</v>
      </c>
      <c r="C1" s="28" t="s">
        <v>87</v>
      </c>
      <c r="D1" s="28" t="s">
        <v>93</v>
      </c>
      <c r="E1" s="28" t="s">
        <v>94</v>
      </c>
    </row>
    <row r="2" spans="1:6" ht="14.5" x14ac:dyDescent="0.35">
      <c r="A2" s="2" t="s">
        <v>54</v>
      </c>
      <c r="B2" s="10">
        <v>8567.5149700000002</v>
      </c>
      <c r="C2" s="10">
        <v>6.7174282564549239</v>
      </c>
      <c r="D2" s="10">
        <f t="shared" ref="D2:D11" si="0">B2+(B2*1%)</f>
        <v>8653.1901197000007</v>
      </c>
      <c r="E2" s="10">
        <f t="shared" ref="E2:E11" si="1">C2*(D2-B2)</f>
        <v>575.51667147078876</v>
      </c>
    </row>
    <row r="3" spans="1:6" ht="14.5" x14ac:dyDescent="0.35">
      <c r="A3" s="2" t="s">
        <v>58</v>
      </c>
      <c r="B3" s="10">
        <v>25.631439999999998</v>
      </c>
      <c r="C3" s="10">
        <v>6.4190981222275276</v>
      </c>
      <c r="D3" s="10">
        <f t="shared" si="0"/>
        <v>25.887754399999999</v>
      </c>
      <c r="E3" s="10">
        <f t="shared" si="1"/>
        <v>1.6453072837398808</v>
      </c>
    </row>
    <row r="4" spans="1:6" ht="14.5" x14ac:dyDescent="0.35">
      <c r="A4" s="2" t="s">
        <v>59</v>
      </c>
      <c r="B4" s="10">
        <v>2455.9042899999999</v>
      </c>
      <c r="C4" s="10">
        <v>7.8959380690398797</v>
      </c>
      <c r="D4" s="10">
        <f t="shared" si="0"/>
        <v>2480.4633328999998</v>
      </c>
      <c r="E4" s="10">
        <f t="shared" si="1"/>
        <v>193.91668177329274</v>
      </c>
    </row>
    <row r="5" spans="1:6" ht="14.5" x14ac:dyDescent="0.35">
      <c r="A5" s="2" t="s">
        <v>60</v>
      </c>
      <c r="B5" s="10">
        <v>4709.81185</v>
      </c>
      <c r="C5" s="10">
        <v>4.3126019624305432</v>
      </c>
      <c r="D5" s="10">
        <f t="shared" si="0"/>
        <v>4756.9099685000001</v>
      </c>
      <c r="E5" s="10">
        <f t="shared" si="1"/>
        <v>203.11543826988651</v>
      </c>
    </row>
    <row r="6" spans="1:6" ht="14.5" x14ac:dyDescent="0.35">
      <c r="A6" s="2" t="s">
        <v>63</v>
      </c>
      <c r="B6" s="10">
        <v>1848.5428700000002</v>
      </c>
      <c r="C6" s="10">
        <v>4.6955187530765317</v>
      </c>
      <c r="D6" s="10">
        <f t="shared" si="0"/>
        <v>1867.0282987000003</v>
      </c>
      <c r="E6" s="10">
        <f t="shared" si="1"/>
        <v>86.798677119509392</v>
      </c>
    </row>
    <row r="7" spans="1:6" ht="14.5" x14ac:dyDescent="0.35">
      <c r="A7" s="2" t="s">
        <v>65</v>
      </c>
      <c r="B7" s="10">
        <v>508.72053000000005</v>
      </c>
      <c r="C7" s="10">
        <v>4.4408330892138705</v>
      </c>
      <c r="D7" s="10">
        <f t="shared" si="0"/>
        <v>513.8077353000001</v>
      </c>
      <c r="E7" s="10">
        <f t="shared" si="1"/>
        <v>22.5914296278644</v>
      </c>
    </row>
    <row r="8" spans="1:6" ht="14.5" x14ac:dyDescent="0.35">
      <c r="A8" s="2" t="s">
        <v>67</v>
      </c>
      <c r="B8" s="10">
        <v>960.67936999999995</v>
      </c>
      <c r="C8" s="10">
        <v>28.2801335931706</v>
      </c>
      <c r="D8" s="10">
        <f t="shared" si="0"/>
        <v>970.28616369999997</v>
      </c>
      <c r="E8" s="10">
        <f t="shared" si="1"/>
        <v>271.68140923803043</v>
      </c>
    </row>
    <row r="9" spans="1:6" ht="14.5" x14ac:dyDescent="0.35">
      <c r="A9" s="2" t="s">
        <v>68</v>
      </c>
      <c r="B9" s="10">
        <v>639.09776999999997</v>
      </c>
      <c r="C9" s="10">
        <v>4.3997267629139314</v>
      </c>
      <c r="D9" s="10">
        <f t="shared" si="0"/>
        <v>645.48874769999998</v>
      </c>
      <c r="E9" s="10">
        <f t="shared" si="1"/>
        <v>28.118555627876155</v>
      </c>
    </row>
    <row r="10" spans="1:6" ht="14.5" x14ac:dyDescent="0.35">
      <c r="A10" s="2" t="s">
        <v>69</v>
      </c>
      <c r="B10" s="10">
        <v>210.31576999999999</v>
      </c>
      <c r="C10" s="10">
        <v>3.7918097022483765</v>
      </c>
      <c r="D10" s="10">
        <f t="shared" si="0"/>
        <v>212.41892769999998</v>
      </c>
      <c r="E10" s="10">
        <f t="shared" si="1"/>
        <v>7.9747737722183691</v>
      </c>
    </row>
    <row r="11" spans="1:6" ht="14.5" x14ac:dyDescent="0.35">
      <c r="A11" s="2" t="s">
        <v>70</v>
      </c>
      <c r="B11" s="10">
        <v>460.67528999999996</v>
      </c>
      <c r="C11" s="10">
        <v>6.511738226005825</v>
      </c>
      <c r="D11" s="10">
        <f t="shared" si="0"/>
        <v>465.28204289999996</v>
      </c>
      <c r="E11" s="10">
        <f t="shared" si="1"/>
        <v>29.997968956693214</v>
      </c>
    </row>
    <row r="14" spans="1:6" ht="43.5" x14ac:dyDescent="0.35">
      <c r="A14" s="22" t="s">
        <v>80</v>
      </c>
      <c r="B14" s="28" t="s">
        <v>92</v>
      </c>
      <c r="C14" s="28" t="s">
        <v>87</v>
      </c>
      <c r="D14" s="28" t="s">
        <v>95</v>
      </c>
      <c r="E14" s="28" t="s">
        <v>96</v>
      </c>
    </row>
    <row r="15" spans="1:6" ht="14.5" x14ac:dyDescent="0.35">
      <c r="A15" s="2" t="s">
        <v>54</v>
      </c>
      <c r="B15" s="10">
        <v>8567.5149700000002</v>
      </c>
      <c r="C15" s="10">
        <v>6.7174282564549239</v>
      </c>
      <c r="D15" s="10">
        <f t="shared" ref="D15:D24" si="2">B15+(B15*6.5%)</f>
        <v>9124.4034430499996</v>
      </c>
      <c r="E15" s="10">
        <f t="shared" ref="E15:E24" si="3">C15*(D15-B15)</f>
        <v>3740.8583645601025</v>
      </c>
      <c r="F15" s="6"/>
    </row>
    <row r="16" spans="1:6" ht="14.5" x14ac:dyDescent="0.35">
      <c r="A16" s="2" t="s">
        <v>58</v>
      </c>
      <c r="B16" s="10">
        <v>25.631439999999998</v>
      </c>
      <c r="C16" s="10">
        <v>6.4190981222275276</v>
      </c>
      <c r="D16" s="10">
        <f t="shared" si="2"/>
        <v>27.297483599999996</v>
      </c>
      <c r="E16" s="10">
        <f t="shared" si="3"/>
        <v>10.694497344309179</v>
      </c>
    </row>
    <row r="17" spans="1:9" ht="14.5" x14ac:dyDescent="0.35">
      <c r="A17" s="2" t="s">
        <v>59</v>
      </c>
      <c r="B17" s="10">
        <v>2455.9042899999999</v>
      </c>
      <c r="C17" s="10">
        <v>7.8959380690398797</v>
      </c>
      <c r="D17" s="10">
        <f t="shared" si="2"/>
        <v>2615.5380688499999</v>
      </c>
      <c r="E17" s="10">
        <f t="shared" si="3"/>
        <v>1260.4584315264083</v>
      </c>
    </row>
    <row r="18" spans="1:9" ht="14.5" x14ac:dyDescent="0.35">
      <c r="A18" s="2" t="s">
        <v>60</v>
      </c>
      <c r="B18" s="10">
        <v>4709.81185</v>
      </c>
      <c r="C18" s="10">
        <v>4.3126019624305432</v>
      </c>
      <c r="D18" s="10">
        <f t="shared" si="2"/>
        <v>5015.9496202500004</v>
      </c>
      <c r="E18" s="10">
        <f t="shared" si="3"/>
        <v>1320.2503487542624</v>
      </c>
    </row>
    <row r="19" spans="1:9" ht="14.5" x14ac:dyDescent="0.35">
      <c r="A19" s="2" t="s">
        <v>63</v>
      </c>
      <c r="B19" s="10">
        <v>1848.5428700000002</v>
      </c>
      <c r="C19" s="10">
        <v>4.6955187530765317</v>
      </c>
      <c r="D19" s="10">
        <f t="shared" si="2"/>
        <v>1968.6981565500002</v>
      </c>
      <c r="E19" s="10">
        <f t="shared" si="3"/>
        <v>564.19140127680953</v>
      </c>
    </row>
    <row r="20" spans="1:9" ht="14.5" x14ac:dyDescent="0.35">
      <c r="A20" s="2" t="s">
        <v>65</v>
      </c>
      <c r="B20" s="10">
        <v>508.72053000000005</v>
      </c>
      <c r="C20" s="10">
        <v>4.4408330892138705</v>
      </c>
      <c r="D20" s="10">
        <f t="shared" si="2"/>
        <v>541.78736445000004</v>
      </c>
      <c r="E20" s="10">
        <f t="shared" si="3"/>
        <v>146.84429258111709</v>
      </c>
    </row>
    <row r="21" spans="1:9" ht="15.75" customHeight="1" x14ac:dyDescent="0.35">
      <c r="A21" s="2" t="s">
        <v>67</v>
      </c>
      <c r="B21" s="10">
        <v>960.67936999999995</v>
      </c>
      <c r="C21" s="10">
        <v>28.2801335931706</v>
      </c>
      <c r="D21" s="10">
        <f t="shared" si="2"/>
        <v>1023.1235290499999</v>
      </c>
      <c r="E21" s="10">
        <f t="shared" si="3"/>
        <v>1765.9291600471913</v>
      </c>
    </row>
    <row r="22" spans="1:9" ht="15.75" customHeight="1" x14ac:dyDescent="0.35">
      <c r="A22" s="2" t="s">
        <v>68</v>
      </c>
      <c r="B22" s="10">
        <v>639.09776999999997</v>
      </c>
      <c r="C22" s="10">
        <v>4.3997267629139314</v>
      </c>
      <c r="D22" s="10">
        <f t="shared" si="2"/>
        <v>680.63912504999996</v>
      </c>
      <c r="E22" s="10">
        <f t="shared" si="3"/>
        <v>182.77061158119477</v>
      </c>
    </row>
    <row r="23" spans="1:9" ht="15.75" customHeight="1" x14ac:dyDescent="0.35">
      <c r="A23" s="2" t="s">
        <v>69</v>
      </c>
      <c r="B23" s="10">
        <v>210.31576999999999</v>
      </c>
      <c r="C23" s="10">
        <v>3.7918097022483765</v>
      </c>
      <c r="D23" s="10">
        <f t="shared" si="2"/>
        <v>223.98629505</v>
      </c>
      <c r="E23" s="10">
        <f t="shared" si="3"/>
        <v>51.836029519419505</v>
      </c>
    </row>
    <row r="24" spans="1:9" ht="15.75" customHeight="1" x14ac:dyDescent="0.35">
      <c r="A24" s="2" t="s">
        <v>70</v>
      </c>
      <c r="B24" s="10">
        <v>460.67528999999996</v>
      </c>
      <c r="C24" s="10">
        <v>6.511738226005825</v>
      </c>
      <c r="D24" s="10">
        <f t="shared" si="2"/>
        <v>490.61918384999996</v>
      </c>
      <c r="E24" s="10">
        <f t="shared" si="3"/>
        <v>194.9867982185057</v>
      </c>
    </row>
    <row r="25" spans="1:9" ht="15.75" customHeight="1" x14ac:dyDescent="0.35"/>
    <row r="26" spans="1:9" ht="15.75" customHeight="1" x14ac:dyDescent="0.35">
      <c r="B26" s="29">
        <v>2013</v>
      </c>
      <c r="C26" s="29">
        <v>2014</v>
      </c>
      <c r="D26" s="29">
        <v>2015</v>
      </c>
      <c r="E26" s="29">
        <v>2016</v>
      </c>
      <c r="F26" s="29">
        <v>2017</v>
      </c>
      <c r="G26" s="29">
        <v>2020</v>
      </c>
      <c r="H26" s="26" t="s">
        <v>76</v>
      </c>
      <c r="I26" s="26" t="s">
        <v>97</v>
      </c>
    </row>
    <row r="27" spans="1:9" ht="15.75" customHeight="1" x14ac:dyDescent="0.35">
      <c r="A27" s="26" t="s">
        <v>98</v>
      </c>
      <c r="B27" s="6">
        <v>4.93</v>
      </c>
      <c r="C27" s="6">
        <v>5.21</v>
      </c>
      <c r="D27" s="1">
        <v>5.69</v>
      </c>
      <c r="E27" s="1">
        <v>5.7</v>
      </c>
      <c r="F27" s="1">
        <v>6.11</v>
      </c>
      <c r="H27" s="6">
        <f>AVERAGE(B27:F27)</f>
        <v>5.5280000000000005</v>
      </c>
      <c r="I27" s="6">
        <f>H27*(G28-E28)</f>
        <v>8488.5010779816002</v>
      </c>
    </row>
    <row r="28" spans="1:9" ht="15.75" customHeight="1" x14ac:dyDescent="0.35">
      <c r="A28" s="26" t="s">
        <v>99</v>
      </c>
      <c r="B28" s="6">
        <v>19848.838050000002</v>
      </c>
      <c r="C28" s="6">
        <v>21099.93708</v>
      </c>
      <c r="D28" s="6">
        <v>22316.87803</v>
      </c>
      <c r="E28" s="6">
        <v>23623.792379999999</v>
      </c>
      <c r="F28" s="6">
        <v>24927.95</v>
      </c>
      <c r="G28" s="27">
        <f>E28+(E28*6.5%)</f>
        <v>25159.338884699999</v>
      </c>
    </row>
    <row r="29" spans="1:9" ht="15.75" customHeight="1" x14ac:dyDescent="0.35">
      <c r="A29" s="26" t="s">
        <v>100</v>
      </c>
      <c r="B29" s="6">
        <v>1286.1400000000001</v>
      </c>
      <c r="C29" s="6">
        <v>1251.0999999999999</v>
      </c>
      <c r="D29" s="1">
        <v>1216.94</v>
      </c>
      <c r="E29" s="1">
        <v>1306.9100000000001</v>
      </c>
      <c r="F29" s="1">
        <v>1304.1600000000001</v>
      </c>
    </row>
    <row r="30" spans="1:9" ht="15.75" customHeight="1" x14ac:dyDescent="0.35"/>
    <row r="31" spans="1:9" ht="30" customHeight="1" x14ac:dyDescent="0.35">
      <c r="A31" s="47" t="s">
        <v>46</v>
      </c>
      <c r="B31" s="54" t="s">
        <v>92</v>
      </c>
      <c r="C31" s="55" t="s">
        <v>101</v>
      </c>
      <c r="D31" s="56" t="s">
        <v>102</v>
      </c>
      <c r="E31" s="57"/>
      <c r="F31" s="59" t="s">
        <v>103</v>
      </c>
      <c r="G31" s="60" t="s">
        <v>82</v>
      </c>
    </row>
    <row r="32" spans="1:9" ht="33" customHeight="1" x14ac:dyDescent="0.35">
      <c r="A32" s="45"/>
      <c r="B32" s="45"/>
      <c r="C32" s="45"/>
      <c r="D32" s="58"/>
      <c r="E32" s="57"/>
      <c r="F32" s="57"/>
      <c r="G32" s="57"/>
    </row>
    <row r="33" spans="1:7" ht="15.75" customHeight="1" x14ac:dyDescent="0.35">
      <c r="A33" s="30" t="s">
        <v>54</v>
      </c>
      <c r="B33" s="31">
        <v>8567.5149700000002</v>
      </c>
      <c r="C33" s="32">
        <v>5.7000000000000002E-2</v>
      </c>
      <c r="D33" s="6"/>
      <c r="E33" s="6">
        <f>B33+(B33*C33)</f>
        <v>9055.8633232900011</v>
      </c>
      <c r="F33" s="6"/>
    </row>
    <row r="34" spans="1:7" ht="15.75" customHeight="1" x14ac:dyDescent="0.35">
      <c r="A34" s="2" t="s">
        <v>55</v>
      </c>
      <c r="B34" s="10">
        <v>294.03571999999997</v>
      </c>
      <c r="C34" s="20">
        <v>5.1968926658134448E-2</v>
      </c>
      <c r="D34" s="6">
        <f t="shared" ref="D34:D36" si="4">B34+(B34*C34)</f>
        <v>309.31644076755174</v>
      </c>
      <c r="E34" s="6"/>
      <c r="F34" s="6">
        <v>6.153664071803945</v>
      </c>
      <c r="G34" s="4">
        <f t="shared" ref="G34:G36" si="5">F34*(D34-B34)</f>
        <v>94.032422378551729</v>
      </c>
    </row>
    <row r="35" spans="1:7" ht="15.75" customHeight="1" x14ac:dyDescent="0.35">
      <c r="A35" s="2" t="s">
        <v>56</v>
      </c>
      <c r="B35" s="10">
        <v>1839.3774799999999</v>
      </c>
      <c r="C35" s="20">
        <v>8.0489594791337563E-2</v>
      </c>
      <c r="D35" s="6">
        <f t="shared" si="4"/>
        <v>1987.4282280335115</v>
      </c>
      <c r="E35" s="6"/>
      <c r="F35" s="6">
        <v>3.7568669464486022</v>
      </c>
      <c r="G35" s="4">
        <f t="shared" si="5"/>
        <v>556.20696168409006</v>
      </c>
    </row>
    <row r="36" spans="1:7" ht="15.75" customHeight="1" x14ac:dyDescent="0.35">
      <c r="A36" s="2" t="s">
        <v>57</v>
      </c>
      <c r="B36" s="10">
        <v>17.628679999999999</v>
      </c>
      <c r="C36" s="20">
        <v>4.0016636961081549E-2</v>
      </c>
      <c r="D36" s="6">
        <f t="shared" si="4"/>
        <v>18.334120487663078</v>
      </c>
      <c r="E36" s="6"/>
      <c r="F36" s="6">
        <v>9.7172427625035613</v>
      </c>
      <c r="G36" s="4">
        <f t="shared" si="5"/>
        <v>6.8549364731210378</v>
      </c>
    </row>
    <row r="37" spans="1:7" ht="15.75" customHeight="1" x14ac:dyDescent="0.35">
      <c r="A37" s="30" t="s">
        <v>58</v>
      </c>
      <c r="B37" s="31">
        <v>25.631439999999998</v>
      </c>
      <c r="C37" s="32">
        <v>5.7000000000000002E-2</v>
      </c>
      <c r="D37" s="6"/>
      <c r="E37" s="6">
        <f t="shared" ref="E37:E38" si="6">B37+(B37*C37)</f>
        <v>27.092432079999998</v>
      </c>
      <c r="F37" s="6"/>
      <c r="G37" s="4"/>
    </row>
    <row r="38" spans="1:7" ht="15.75" customHeight="1" x14ac:dyDescent="0.35">
      <c r="A38" s="30" t="s">
        <v>59</v>
      </c>
      <c r="B38" s="31">
        <v>2455.9042899999999</v>
      </c>
      <c r="C38" s="32">
        <v>5.7000000000000002E-2</v>
      </c>
      <c r="D38" s="6"/>
      <c r="E38" s="6">
        <f t="shared" si="6"/>
        <v>2595.8908345300001</v>
      </c>
      <c r="F38" s="6"/>
      <c r="G38" s="4"/>
    </row>
    <row r="39" spans="1:7" ht="15.75" customHeight="1" x14ac:dyDescent="0.35">
      <c r="A39" s="2" t="s">
        <v>60</v>
      </c>
      <c r="B39" s="10">
        <v>4709.81185</v>
      </c>
      <c r="C39" s="20">
        <v>7.971143136491958E-2</v>
      </c>
      <c r="D39" s="6">
        <f t="shared" ref="D39:D41" si="7">B39+(B39*C39)</f>
        <v>5085.2376940229597</v>
      </c>
      <c r="E39" s="6"/>
      <c r="F39" s="6">
        <v>4.5614922516591401</v>
      </c>
      <c r="G39" s="4">
        <f t="shared" ref="G39:G43" si="8">F39*(D39-B39)</f>
        <v>1712.5020785833231</v>
      </c>
    </row>
    <row r="40" spans="1:7" ht="15.75" customHeight="1" x14ac:dyDescent="0.35">
      <c r="A40" s="2" t="s">
        <v>61</v>
      </c>
      <c r="B40" s="10">
        <v>186.35746</v>
      </c>
      <c r="C40" s="20">
        <v>8.307518512579809E-2</v>
      </c>
      <c r="D40" s="6">
        <f t="shared" si="7"/>
        <v>201.83914048907351</v>
      </c>
      <c r="E40" s="6"/>
      <c r="F40" s="6">
        <v>4.0460882628234769</v>
      </c>
      <c r="G40" s="4">
        <f t="shared" si="8"/>
        <v>62.640245715623557</v>
      </c>
    </row>
    <row r="41" spans="1:7" ht="15.75" customHeight="1" x14ac:dyDescent="0.35">
      <c r="A41" s="2" t="s">
        <v>62</v>
      </c>
      <c r="B41" s="10">
        <v>345.93034</v>
      </c>
      <c r="C41" s="20">
        <v>9.5844229934169217E-2</v>
      </c>
      <c r="D41" s="6">
        <f t="shared" si="7"/>
        <v>379.08576704816534</v>
      </c>
      <c r="E41" s="6"/>
      <c r="F41" s="6">
        <v>3.254185239417819</v>
      </c>
      <c r="G41" s="4">
        <f t="shared" si="8"/>
        <v>107.89390130673395</v>
      </c>
    </row>
    <row r="42" spans="1:7" ht="15.75" customHeight="1" x14ac:dyDescent="0.35">
      <c r="A42" s="30" t="s">
        <v>63</v>
      </c>
      <c r="B42" s="31">
        <v>1848.5428700000002</v>
      </c>
      <c r="C42" s="32">
        <v>5.7000000000000002E-2</v>
      </c>
      <c r="D42" s="6"/>
      <c r="E42" s="6">
        <f>B42+(B42*C42)</f>
        <v>1953.9098135900003</v>
      </c>
      <c r="F42" s="6"/>
      <c r="G42" s="4">
        <f t="shared" si="8"/>
        <v>0</v>
      </c>
    </row>
    <row r="43" spans="1:7" ht="15.75" customHeight="1" x14ac:dyDescent="0.35">
      <c r="A43" s="2" t="s">
        <v>64</v>
      </c>
      <c r="B43" s="10">
        <v>487.59411999999998</v>
      </c>
      <c r="C43" s="20">
        <v>8.5146268350341767E-2</v>
      </c>
      <c r="D43" s="6">
        <f>B43+(B43*C43)</f>
        <v>529.11093978756867</v>
      </c>
      <c r="E43" s="6"/>
      <c r="F43" s="6">
        <v>4.9116701648579175</v>
      </c>
      <c r="G43" s="4">
        <f t="shared" si="8"/>
        <v>203.91692509038398</v>
      </c>
    </row>
    <row r="44" spans="1:7" ht="15.75" customHeight="1" x14ac:dyDescent="0.35">
      <c r="A44" s="30" t="s">
        <v>65</v>
      </c>
      <c r="B44" s="31">
        <v>508.72053000000005</v>
      </c>
      <c r="C44" s="32">
        <v>5.7000000000000002E-2</v>
      </c>
      <c r="D44" s="6"/>
      <c r="E44" s="6">
        <f>B44+(B44*C44)</f>
        <v>537.71760021</v>
      </c>
      <c r="F44" s="6"/>
      <c r="G44" s="4"/>
    </row>
    <row r="45" spans="1:7" ht="15.75" customHeight="1" x14ac:dyDescent="0.35">
      <c r="A45" s="2" t="s">
        <v>66</v>
      </c>
      <c r="B45" s="10">
        <v>65.974440000000001</v>
      </c>
      <c r="C45" s="20">
        <v>6.2046271810781858E-2</v>
      </c>
      <c r="D45" s="6">
        <f>B45+(B45*C45)</f>
        <v>70.067908036804127</v>
      </c>
      <c r="E45" s="6"/>
      <c r="F45" s="6">
        <v>5.2634977495200461</v>
      </c>
      <c r="G45" s="4">
        <f>F45*(D45-B45)</f>
        <v>21.545959799450756</v>
      </c>
    </row>
    <row r="46" spans="1:7" ht="15.75" customHeight="1" x14ac:dyDescent="0.35">
      <c r="A46" s="30" t="s">
        <v>67</v>
      </c>
      <c r="B46" s="31">
        <v>960.67936999999995</v>
      </c>
      <c r="C46" s="32">
        <v>5.7000000000000002E-2</v>
      </c>
      <c r="D46" s="6"/>
      <c r="E46" s="6">
        <f>B46+(B46*C46)</f>
        <v>1015.4380940899999</v>
      </c>
      <c r="F46" s="6"/>
      <c r="G46" s="4"/>
    </row>
    <row r="47" spans="1:7" ht="15.75" customHeight="1" x14ac:dyDescent="0.35">
      <c r="A47" s="2" t="s">
        <v>68</v>
      </c>
      <c r="B47" s="10">
        <v>639.09776999999997</v>
      </c>
      <c r="C47" s="20">
        <v>7.7724999500545899E-2</v>
      </c>
      <c r="D47" s="6">
        <f>B47+(B47*C47)</f>
        <v>688.77164385405001</v>
      </c>
      <c r="E47" s="6"/>
      <c r="F47" s="6">
        <v>4.5413398032691807</v>
      </c>
      <c r="G47" s="4">
        <f>F47*(D47-B47)</f>
        <v>225.58594051596972</v>
      </c>
    </row>
    <row r="48" spans="1:7" ht="15.75" customHeight="1" x14ac:dyDescent="0.35">
      <c r="A48" s="30" t="s">
        <v>69</v>
      </c>
      <c r="B48" s="31">
        <v>210.31576999999999</v>
      </c>
      <c r="C48" s="32">
        <v>5.7000000000000002E-2</v>
      </c>
      <c r="D48" s="6"/>
      <c r="E48" s="6">
        <f t="shared" ref="E48:E49" si="9">B48+(B48*C48)</f>
        <v>222.30376888999999</v>
      </c>
      <c r="F48" s="6"/>
      <c r="G48" s="4"/>
    </row>
    <row r="49" spans="1:7" ht="15.75" customHeight="1" x14ac:dyDescent="0.35">
      <c r="A49" s="30" t="s">
        <v>70</v>
      </c>
      <c r="B49" s="31">
        <v>460.67528999999996</v>
      </c>
      <c r="C49" s="32">
        <v>5.7000000000000002E-2</v>
      </c>
      <c r="D49" s="6"/>
      <c r="E49" s="6">
        <f t="shared" si="9"/>
        <v>486.93378152999998</v>
      </c>
      <c r="F49" s="6"/>
      <c r="G49" s="4"/>
    </row>
    <row r="50" spans="1:7" ht="15.75" customHeight="1" x14ac:dyDescent="0.35"/>
    <row r="51" spans="1:7" ht="15.75" customHeight="1" x14ac:dyDescent="0.35">
      <c r="C51" s="15"/>
      <c r="D51" s="6">
        <f>SUM(D34:D47)</f>
        <v>9269.1918825273478</v>
      </c>
      <c r="F51" s="6">
        <f>D51+E52</f>
        <v>25164.341530737351</v>
      </c>
    </row>
    <row r="52" spans="1:7" ht="15.75" customHeight="1" x14ac:dyDescent="0.35">
      <c r="C52" s="1" t="s">
        <v>104</v>
      </c>
      <c r="D52" s="6">
        <f>G28-D51</f>
        <v>15890.147002172651</v>
      </c>
      <c r="E52" s="6">
        <f>SUM(E33:E49)</f>
        <v>15895.149648210003</v>
      </c>
      <c r="F52" s="6"/>
    </row>
    <row r="53" spans="1:7" ht="15.75" customHeight="1" x14ac:dyDescent="0.35"/>
    <row r="54" spans="1:7" ht="15.75" customHeight="1" x14ac:dyDescent="0.35"/>
    <row r="55" spans="1:7" ht="15.75" customHeight="1" x14ac:dyDescent="0.35">
      <c r="A55" s="22" t="s">
        <v>80</v>
      </c>
      <c r="B55" s="28" t="s">
        <v>92</v>
      </c>
      <c r="C55" s="28" t="s">
        <v>87</v>
      </c>
      <c r="D55" s="28" t="s">
        <v>105</v>
      </c>
      <c r="E55" s="28" t="s">
        <v>96</v>
      </c>
    </row>
    <row r="56" spans="1:7" ht="15.75" customHeight="1" x14ac:dyDescent="0.35">
      <c r="A56" s="2" t="s">
        <v>54</v>
      </c>
      <c r="B56" s="10">
        <v>8567.5149700000002</v>
      </c>
      <c r="C56" s="10">
        <v>6.7174282564549239</v>
      </c>
      <c r="D56" s="10">
        <f t="shared" ref="D56:D65" si="10">B56+(B56*5.7%)</f>
        <v>9055.8633232900011</v>
      </c>
      <c r="E56" s="10">
        <f t="shared" ref="E56:E65" si="11">C56*(D56-B56)</f>
        <v>3280.4450273834836</v>
      </c>
      <c r="F56" s="6"/>
    </row>
    <row r="57" spans="1:7" ht="15.75" customHeight="1" x14ac:dyDescent="0.35">
      <c r="A57" s="2" t="s">
        <v>58</v>
      </c>
      <c r="B57" s="10">
        <v>25.631439999999998</v>
      </c>
      <c r="C57" s="10">
        <v>6.4190981222275276</v>
      </c>
      <c r="D57" s="10">
        <f t="shared" si="10"/>
        <v>27.092432079999998</v>
      </c>
      <c r="E57" s="10">
        <f t="shared" si="11"/>
        <v>9.3782515173172936</v>
      </c>
      <c r="G57" s="14"/>
    </row>
    <row r="58" spans="1:7" ht="15.75" customHeight="1" x14ac:dyDescent="0.35">
      <c r="A58" s="2" t="s">
        <v>59</v>
      </c>
      <c r="B58" s="10">
        <v>2455.9042899999999</v>
      </c>
      <c r="C58" s="10">
        <v>7.8959380690398797</v>
      </c>
      <c r="D58" s="10">
        <f t="shared" si="10"/>
        <v>2595.8908345300001</v>
      </c>
      <c r="E58" s="10">
        <f t="shared" si="11"/>
        <v>1105.3250861077747</v>
      </c>
      <c r="F58" s="6"/>
      <c r="G58" s="14"/>
    </row>
    <row r="59" spans="1:7" ht="15.75" customHeight="1" x14ac:dyDescent="0.35">
      <c r="A59" s="2" t="s">
        <v>60</v>
      </c>
      <c r="B59" s="10">
        <v>4709.81185</v>
      </c>
      <c r="C59" s="10">
        <v>4.3126019624305432</v>
      </c>
      <c r="D59" s="10">
        <f t="shared" si="10"/>
        <v>4978.27112545</v>
      </c>
      <c r="E59" s="10">
        <f t="shared" si="11"/>
        <v>1157.7579981383515</v>
      </c>
      <c r="G59" s="14"/>
    </row>
    <row r="60" spans="1:7" ht="15.75" customHeight="1" x14ac:dyDescent="0.35">
      <c r="A60" s="2" t="s">
        <v>63</v>
      </c>
      <c r="B60" s="10">
        <v>1848.5428700000002</v>
      </c>
      <c r="C60" s="10">
        <v>4.6955187530765317</v>
      </c>
      <c r="D60" s="10">
        <f t="shared" si="10"/>
        <v>1953.9098135900003</v>
      </c>
      <c r="E60" s="10">
        <f t="shared" si="11"/>
        <v>494.75245958120263</v>
      </c>
      <c r="G60" s="14"/>
    </row>
    <row r="61" spans="1:7" ht="15.75" customHeight="1" x14ac:dyDescent="0.35">
      <c r="A61" s="2" t="s">
        <v>65</v>
      </c>
      <c r="B61" s="10">
        <v>508.72053000000005</v>
      </c>
      <c r="C61" s="10">
        <v>4.4408330892138705</v>
      </c>
      <c r="D61" s="10">
        <f t="shared" si="10"/>
        <v>537.71760021</v>
      </c>
      <c r="E61" s="10">
        <f t="shared" si="11"/>
        <v>128.77114887882556</v>
      </c>
      <c r="G61" s="14"/>
    </row>
    <row r="62" spans="1:7" ht="15.75" customHeight="1" x14ac:dyDescent="0.35">
      <c r="A62" s="2" t="s">
        <v>67</v>
      </c>
      <c r="B62" s="10">
        <v>960.67936999999995</v>
      </c>
      <c r="C62" s="10">
        <v>28.2801335931706</v>
      </c>
      <c r="D62" s="10">
        <f t="shared" si="10"/>
        <v>1015.4380940899999</v>
      </c>
      <c r="E62" s="10">
        <f t="shared" si="11"/>
        <v>1548.5840326567688</v>
      </c>
      <c r="G62" s="14"/>
    </row>
    <row r="63" spans="1:7" ht="15.75" customHeight="1" x14ac:dyDescent="0.35">
      <c r="A63" s="2" t="s">
        <v>68</v>
      </c>
      <c r="B63" s="10">
        <v>639.09776999999997</v>
      </c>
      <c r="C63" s="10">
        <v>4.3997267629139314</v>
      </c>
      <c r="D63" s="10">
        <f t="shared" si="10"/>
        <v>675.52634289000002</v>
      </c>
      <c r="E63" s="10">
        <f t="shared" si="11"/>
        <v>160.27576707889415</v>
      </c>
      <c r="G63" s="14"/>
    </row>
    <row r="64" spans="1:7" ht="15.75" customHeight="1" x14ac:dyDescent="0.35">
      <c r="A64" s="2" t="s">
        <v>69</v>
      </c>
      <c r="B64" s="10">
        <v>210.31576999999999</v>
      </c>
      <c r="C64" s="10">
        <v>3.7918097022483765</v>
      </c>
      <c r="D64" s="10">
        <f t="shared" si="10"/>
        <v>222.30376888999999</v>
      </c>
      <c r="E64" s="10">
        <f t="shared" si="11"/>
        <v>45.456210501644769</v>
      </c>
      <c r="G64" s="14"/>
    </row>
    <row r="65" spans="1:7" ht="15.75" customHeight="1" x14ac:dyDescent="0.35">
      <c r="A65" s="2" t="s">
        <v>70</v>
      </c>
      <c r="B65" s="10">
        <v>460.67528999999996</v>
      </c>
      <c r="C65" s="10">
        <v>6.511738226005825</v>
      </c>
      <c r="D65" s="10">
        <f t="shared" si="10"/>
        <v>486.93378152999998</v>
      </c>
      <c r="E65" s="10">
        <f t="shared" si="11"/>
        <v>170.98842305315128</v>
      </c>
      <c r="G65" s="14"/>
    </row>
    <row r="66" spans="1:7" ht="15.75" customHeight="1" x14ac:dyDescent="0.35"/>
    <row r="67" spans="1:7" ht="15.75" customHeight="1" x14ac:dyDescent="0.35"/>
    <row r="68" spans="1:7" ht="15.75" customHeight="1" x14ac:dyDescent="0.35"/>
    <row r="69" spans="1:7" ht="15.75" customHeight="1" x14ac:dyDescent="0.35"/>
    <row r="70" spans="1:7" ht="15.75" customHeight="1" x14ac:dyDescent="0.35"/>
    <row r="71" spans="1:7" ht="15.75" customHeight="1" x14ac:dyDescent="0.35"/>
    <row r="72" spans="1:7" ht="15.75" customHeight="1" x14ac:dyDescent="0.35"/>
    <row r="73" spans="1:7" ht="15.75" customHeight="1" x14ac:dyDescent="0.35"/>
    <row r="74" spans="1:7" ht="15.75" customHeight="1" x14ac:dyDescent="0.35"/>
    <row r="75" spans="1:7" ht="15.75" customHeight="1" x14ac:dyDescent="0.35"/>
    <row r="76" spans="1:7" ht="15.75" customHeight="1" x14ac:dyDescent="0.35"/>
    <row r="77" spans="1:7" ht="15.75" customHeight="1" x14ac:dyDescent="0.35"/>
    <row r="78" spans="1:7" ht="15.75" customHeight="1" x14ac:dyDescent="0.35"/>
    <row r="79" spans="1:7" ht="15.75" customHeight="1" x14ac:dyDescent="0.35"/>
    <row r="80" spans="1:7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G31:G32"/>
    <mergeCell ref="A31:A32"/>
    <mergeCell ref="B31:B32"/>
    <mergeCell ref="C31:C32"/>
    <mergeCell ref="D31:E32"/>
    <mergeCell ref="F31:F3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defaultColWidth="14.453125" defaultRowHeight="15" customHeight="1" x14ac:dyDescent="0.35"/>
  <cols>
    <col min="1" max="1" width="14.453125" customWidth="1"/>
    <col min="2" max="2" width="23.81640625" customWidth="1"/>
    <col min="3" max="3" width="27.81640625" customWidth="1"/>
    <col min="4" max="4" width="8.7265625" customWidth="1"/>
    <col min="5" max="5" width="51.453125" customWidth="1"/>
    <col min="6" max="26" width="8.7265625" customWidth="1"/>
  </cols>
  <sheetData>
    <row r="1" spans="1:7" x14ac:dyDescent="0.35">
      <c r="A1" s="33" t="s">
        <v>106</v>
      </c>
      <c r="B1" s="33" t="s">
        <v>107</v>
      </c>
      <c r="C1" s="33" t="s">
        <v>108</v>
      </c>
      <c r="E1" s="47" t="s">
        <v>46</v>
      </c>
      <c r="F1" s="47" t="s">
        <v>109</v>
      </c>
      <c r="G1" s="47" t="s">
        <v>103</v>
      </c>
    </row>
    <row r="2" spans="1:7" ht="15.5" x14ac:dyDescent="0.35">
      <c r="A2" s="34" t="s">
        <v>110</v>
      </c>
      <c r="B2" s="35" t="s">
        <v>111</v>
      </c>
      <c r="C2" s="35" t="s">
        <v>112</v>
      </c>
      <c r="E2" s="45"/>
      <c r="F2" s="45"/>
      <c r="G2" s="45"/>
    </row>
    <row r="3" spans="1:7" ht="15.5" x14ac:dyDescent="0.35">
      <c r="A3" s="34" t="s">
        <v>113</v>
      </c>
      <c r="B3" s="35" t="s">
        <v>114</v>
      </c>
      <c r="C3" s="35" t="s">
        <v>115</v>
      </c>
      <c r="E3" s="2" t="s">
        <v>54</v>
      </c>
      <c r="F3" s="10">
        <v>3.0355534331100689</v>
      </c>
      <c r="G3" s="10">
        <v>6.7174282564549239</v>
      </c>
    </row>
    <row r="4" spans="1:7" ht="14.5" x14ac:dyDescent="0.35">
      <c r="E4" s="2" t="s">
        <v>55</v>
      </c>
      <c r="F4" s="10">
        <v>0.24875367920719318</v>
      </c>
      <c r="G4" s="10">
        <v>6.153664071803945</v>
      </c>
    </row>
    <row r="5" spans="1:7" ht="14.5" x14ac:dyDescent="0.35">
      <c r="E5" s="2" t="s">
        <v>56</v>
      </c>
      <c r="F5" s="10">
        <v>0.25510709284682415</v>
      </c>
      <c r="G5" s="10">
        <v>3.7568669464486022</v>
      </c>
    </row>
    <row r="6" spans="1:7" ht="14.5" x14ac:dyDescent="0.35">
      <c r="E6" s="2" t="s">
        <v>57</v>
      </c>
      <c r="F6" s="10">
        <v>0.21647727852120097</v>
      </c>
      <c r="G6" s="10">
        <v>9.7172427625035613</v>
      </c>
    </row>
    <row r="7" spans="1:7" ht="14.5" x14ac:dyDescent="0.35">
      <c r="E7" s="2" t="s">
        <v>58</v>
      </c>
      <c r="F7" s="10">
        <v>1.1089967319359375</v>
      </c>
      <c r="G7" s="10">
        <v>6.4190981222275276</v>
      </c>
    </row>
    <row r="8" spans="1:7" ht="14.5" x14ac:dyDescent="0.35">
      <c r="A8" s="36" t="s">
        <v>106</v>
      </c>
      <c r="B8" s="36" t="s">
        <v>107</v>
      </c>
      <c r="C8" s="36" t="s">
        <v>108</v>
      </c>
      <c r="E8" s="2" t="s">
        <v>59</v>
      </c>
      <c r="F8" s="10">
        <v>1.1592587221590254</v>
      </c>
      <c r="G8" s="10">
        <v>7.8959380690398797</v>
      </c>
    </row>
    <row r="9" spans="1:7" ht="26.5" x14ac:dyDescent="0.35">
      <c r="A9" s="37" t="s">
        <v>110</v>
      </c>
      <c r="B9" s="38" t="s">
        <v>69</v>
      </c>
      <c r="C9" s="38" t="s">
        <v>56</v>
      </c>
      <c r="E9" s="2" t="s">
        <v>60</v>
      </c>
      <c r="F9" s="10">
        <v>1.0702297160574226</v>
      </c>
      <c r="G9" s="10">
        <v>4.3126019624305432</v>
      </c>
    </row>
    <row r="10" spans="1:7" ht="26.5" x14ac:dyDescent="0.35">
      <c r="A10" s="39"/>
      <c r="B10" s="40"/>
      <c r="C10" s="40" t="s">
        <v>62</v>
      </c>
      <c r="E10" s="2" t="s">
        <v>61</v>
      </c>
      <c r="F10" s="10">
        <v>0.26280698240361006</v>
      </c>
      <c r="G10" s="10">
        <v>4.0460882628234769</v>
      </c>
    </row>
    <row r="11" spans="1:7" ht="14.5" x14ac:dyDescent="0.35">
      <c r="A11" s="39"/>
      <c r="B11" s="39"/>
      <c r="C11" s="39" t="s">
        <v>61</v>
      </c>
      <c r="E11" s="2" t="s">
        <v>62</v>
      </c>
      <c r="F11" s="10">
        <v>0.27233539708210747</v>
      </c>
      <c r="G11" s="10">
        <v>3.254185239417819</v>
      </c>
    </row>
    <row r="12" spans="1:7" ht="26.5" x14ac:dyDescent="0.35">
      <c r="A12" s="37" t="s">
        <v>113</v>
      </c>
      <c r="B12" s="38" t="s">
        <v>54</v>
      </c>
      <c r="C12" s="38" t="s">
        <v>55</v>
      </c>
      <c r="E12" s="2" t="s">
        <v>63</v>
      </c>
      <c r="F12" s="10">
        <v>1.3933593666791528</v>
      </c>
      <c r="G12" s="10">
        <v>4.6955187530765317</v>
      </c>
    </row>
    <row r="13" spans="1:7" ht="39.5" x14ac:dyDescent="0.35">
      <c r="A13" s="39"/>
      <c r="B13" s="40" t="s">
        <v>116</v>
      </c>
      <c r="C13" s="40" t="s">
        <v>57</v>
      </c>
      <c r="E13" s="2" t="s">
        <v>64</v>
      </c>
      <c r="F13" s="10">
        <v>0.78611580080533827</v>
      </c>
      <c r="G13" s="10">
        <v>4.9116701648579175</v>
      </c>
    </row>
    <row r="14" spans="1:7" ht="39.5" x14ac:dyDescent="0.35">
      <c r="A14" s="39"/>
      <c r="B14" s="40" t="s">
        <v>59</v>
      </c>
      <c r="C14" s="40" t="s">
        <v>117</v>
      </c>
      <c r="E14" s="2" t="s">
        <v>65</v>
      </c>
      <c r="F14" s="10">
        <v>1.2241937372582963</v>
      </c>
      <c r="G14" s="10">
        <v>4.4408330892138705</v>
      </c>
    </row>
    <row r="15" spans="1:7" ht="14.5" x14ac:dyDescent="0.35">
      <c r="A15" s="39"/>
      <c r="B15" s="40" t="s">
        <v>63</v>
      </c>
      <c r="C15" s="40" t="s">
        <v>64</v>
      </c>
      <c r="E15" s="2" t="s">
        <v>66</v>
      </c>
      <c r="F15" s="10">
        <v>0.36019551510326053</v>
      </c>
      <c r="G15" s="10">
        <v>5.2634977495200461</v>
      </c>
    </row>
    <row r="16" spans="1:7" ht="14.5" x14ac:dyDescent="0.35">
      <c r="A16" s="39"/>
      <c r="B16" s="40" t="s">
        <v>118</v>
      </c>
      <c r="C16" s="40" t="s">
        <v>66</v>
      </c>
      <c r="E16" s="2" t="s">
        <v>67</v>
      </c>
      <c r="F16" s="10">
        <v>1.8144780574581139</v>
      </c>
      <c r="G16" s="10">
        <v>28.2801335931706</v>
      </c>
    </row>
    <row r="17" spans="1:7" ht="39.5" x14ac:dyDescent="0.35">
      <c r="A17" s="39"/>
      <c r="B17" s="40" t="s">
        <v>119</v>
      </c>
      <c r="C17" s="40" t="s">
        <v>68</v>
      </c>
      <c r="E17" s="2" t="s">
        <v>68</v>
      </c>
      <c r="F17" s="10">
        <v>1.0059435816709863</v>
      </c>
      <c r="G17" s="10">
        <v>4.3997267629139314</v>
      </c>
    </row>
    <row r="18" spans="1:7" ht="14.5" x14ac:dyDescent="0.35">
      <c r="A18" s="39"/>
      <c r="B18" s="40" t="s">
        <v>70</v>
      </c>
      <c r="C18" s="40"/>
      <c r="E18" s="2" t="s">
        <v>69</v>
      </c>
      <c r="F18" s="10">
        <v>1.3150217333555974</v>
      </c>
      <c r="G18" s="10">
        <v>3.7918097022483765</v>
      </c>
    </row>
    <row r="19" spans="1:7" ht="14.5" x14ac:dyDescent="0.35">
      <c r="E19" s="2" t="s">
        <v>70</v>
      </c>
      <c r="F19" s="10">
        <v>1.3504830511084067</v>
      </c>
      <c r="G19" s="10">
        <v>6.511738226005825</v>
      </c>
    </row>
    <row r="21" spans="1:7" ht="15.75" customHeight="1" x14ac:dyDescent="0.35"/>
    <row r="22" spans="1:7" ht="15.75" customHeight="1" x14ac:dyDescent="0.35"/>
    <row r="23" spans="1:7" ht="15.75" customHeight="1" x14ac:dyDescent="0.35"/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E1:E2"/>
    <mergeCell ref="F1:F2"/>
    <mergeCell ref="G1:G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>
      <selection activeCell="B7" sqref="B7"/>
    </sheetView>
  </sheetViews>
  <sheetFormatPr defaultColWidth="14.453125" defaultRowHeight="15" customHeight="1" x14ac:dyDescent="0.35"/>
  <cols>
    <col min="1" max="1" width="51.453125" customWidth="1"/>
    <col min="2" max="2" width="8.453125" customWidth="1"/>
    <col min="3" max="3" width="11.7265625" customWidth="1"/>
    <col min="4" max="4" width="8" customWidth="1"/>
    <col min="5" max="26" width="8.7265625" customWidth="1"/>
  </cols>
  <sheetData>
    <row r="1" spans="1:7" ht="29" x14ac:dyDescent="0.35">
      <c r="A1" s="22" t="s">
        <v>46</v>
      </c>
      <c r="B1" s="28" t="s">
        <v>120</v>
      </c>
      <c r="C1" s="28" t="s">
        <v>121</v>
      </c>
      <c r="D1" s="28" t="s">
        <v>122</v>
      </c>
    </row>
    <row r="2" spans="1:7" ht="14.5" x14ac:dyDescent="0.35">
      <c r="A2" s="2" t="s">
        <v>54</v>
      </c>
      <c r="B2" s="10">
        <v>9055.8633232900011</v>
      </c>
      <c r="C2" s="41">
        <v>5.7000000000000002E-2</v>
      </c>
      <c r="D2" s="10">
        <v>3280.4450273834836</v>
      </c>
    </row>
    <row r="3" spans="1:7" ht="14.5" x14ac:dyDescent="0.35">
      <c r="A3" s="2" t="s">
        <v>55</v>
      </c>
      <c r="B3" s="10">
        <v>309.31644076755174</v>
      </c>
      <c r="C3" s="41">
        <v>5.1968926658134448E-2</v>
      </c>
      <c r="D3" s="10">
        <v>94.032422378551729</v>
      </c>
    </row>
    <row r="4" spans="1:7" ht="14.5" x14ac:dyDescent="0.35">
      <c r="A4" s="2" t="s">
        <v>56</v>
      </c>
      <c r="B4" s="10">
        <v>1987.4282280335115</v>
      </c>
      <c r="C4" s="41">
        <v>8.0489594791337563E-2</v>
      </c>
      <c r="D4" s="10">
        <v>556.20696168409006</v>
      </c>
    </row>
    <row r="5" spans="1:7" ht="14.5" x14ac:dyDescent="0.35">
      <c r="A5" s="2" t="s">
        <v>57</v>
      </c>
      <c r="B5" s="10">
        <v>18.334120487663078</v>
      </c>
      <c r="C5" s="41">
        <v>4.0016636961081549E-2</v>
      </c>
      <c r="D5" s="10">
        <v>6.8549364731210378</v>
      </c>
      <c r="G5" s="6"/>
    </row>
    <row r="6" spans="1:7" ht="14.5" x14ac:dyDescent="0.35">
      <c r="A6" s="2" t="s">
        <v>58</v>
      </c>
      <c r="B6" s="10">
        <v>27.092432079999998</v>
      </c>
      <c r="C6" s="41">
        <v>5.7000000000000002E-2</v>
      </c>
      <c r="D6" s="10">
        <v>9.3782515173172936</v>
      </c>
    </row>
    <row r="7" spans="1:7" ht="14.5" x14ac:dyDescent="0.35">
      <c r="A7" s="2" t="s">
        <v>59</v>
      </c>
      <c r="B7" s="10">
        <v>2595.8908345300001</v>
      </c>
      <c r="C7" s="41">
        <v>5.7000000000000002E-2</v>
      </c>
      <c r="D7" s="10">
        <v>1105.3250861077747</v>
      </c>
    </row>
    <row r="8" spans="1:7" ht="14.5" x14ac:dyDescent="0.35">
      <c r="A8" s="2" t="s">
        <v>60</v>
      </c>
      <c r="B8" s="10">
        <v>5085.2376940229597</v>
      </c>
      <c r="C8" s="41">
        <v>7.971143136491958E-2</v>
      </c>
      <c r="D8" s="10">
        <v>1712.5020785833231</v>
      </c>
    </row>
    <row r="9" spans="1:7" ht="14.5" x14ac:dyDescent="0.35">
      <c r="A9" s="2" t="s">
        <v>61</v>
      </c>
      <c r="B9" s="10">
        <v>201.83914048907351</v>
      </c>
      <c r="C9" s="41">
        <v>8.307518512579809E-2</v>
      </c>
      <c r="D9" s="10">
        <v>62.640245715623557</v>
      </c>
      <c r="G9" s="6"/>
    </row>
    <row r="10" spans="1:7" ht="14.5" x14ac:dyDescent="0.35">
      <c r="A10" s="2" t="s">
        <v>62</v>
      </c>
      <c r="B10" s="10">
        <v>379.08576704816534</v>
      </c>
      <c r="C10" s="41">
        <v>9.5844229934169217E-2</v>
      </c>
      <c r="D10" s="10">
        <v>107.89390130673395</v>
      </c>
    </row>
    <row r="11" spans="1:7" ht="14.5" x14ac:dyDescent="0.35">
      <c r="A11" s="2" t="s">
        <v>63</v>
      </c>
      <c r="B11" s="10">
        <v>1953.9098135900003</v>
      </c>
      <c r="C11" s="41">
        <v>5.7000000000000002E-2</v>
      </c>
      <c r="D11" s="10">
        <v>494.75245958120263</v>
      </c>
    </row>
    <row r="12" spans="1:7" ht="14.5" x14ac:dyDescent="0.35">
      <c r="A12" s="2" t="s">
        <v>64</v>
      </c>
      <c r="B12" s="10">
        <v>529.11093978756867</v>
      </c>
      <c r="C12" s="41">
        <v>8.5146268350341767E-2</v>
      </c>
      <c r="D12" s="10">
        <v>203.91692509038398</v>
      </c>
    </row>
    <row r="13" spans="1:7" ht="14.5" x14ac:dyDescent="0.35">
      <c r="A13" s="2" t="s">
        <v>65</v>
      </c>
      <c r="B13" s="10">
        <v>537.71760021</v>
      </c>
      <c r="C13" s="41">
        <v>5.7000000000000002E-2</v>
      </c>
      <c r="D13" s="10">
        <v>128.77114887882556</v>
      </c>
    </row>
    <row r="14" spans="1:7" ht="14.5" x14ac:dyDescent="0.35">
      <c r="A14" s="2" t="s">
        <v>66</v>
      </c>
      <c r="B14" s="10">
        <v>70.067908036804127</v>
      </c>
      <c r="C14" s="41">
        <v>6.2046271810781858E-2</v>
      </c>
      <c r="D14" s="10">
        <v>21.545959799450756</v>
      </c>
    </row>
    <row r="15" spans="1:7" ht="14.5" x14ac:dyDescent="0.35">
      <c r="A15" s="2" t="s">
        <v>67</v>
      </c>
      <c r="B15" s="10">
        <v>1015.4380940899999</v>
      </c>
      <c r="C15" s="41">
        <v>5.7000000000000002E-2</v>
      </c>
      <c r="D15" s="10">
        <v>1548.5840326567688</v>
      </c>
    </row>
    <row r="16" spans="1:7" ht="14.5" x14ac:dyDescent="0.35">
      <c r="A16" s="2" t="s">
        <v>68</v>
      </c>
      <c r="B16" s="10">
        <v>688.77164385405001</v>
      </c>
      <c r="C16" s="41">
        <v>7.7724999500545899E-2</v>
      </c>
      <c r="D16" s="10">
        <v>225.58594051596972</v>
      </c>
    </row>
    <row r="17" spans="1:4" ht="14.5" x14ac:dyDescent="0.35">
      <c r="A17" s="2" t="s">
        <v>69</v>
      </c>
      <c r="B17" s="10">
        <v>222.30376888999999</v>
      </c>
      <c r="C17" s="41">
        <v>5.7000000000000002E-2</v>
      </c>
      <c r="D17" s="10">
        <v>45.456210501644769</v>
      </c>
    </row>
    <row r="18" spans="1:4" ht="14.5" x14ac:dyDescent="0.35">
      <c r="A18" s="2" t="s">
        <v>70</v>
      </c>
      <c r="B18" s="10">
        <v>486.93378152999998</v>
      </c>
      <c r="C18" s="41">
        <v>5.7000000000000002E-2</v>
      </c>
      <c r="D18" s="10">
        <v>170.98842305315128</v>
      </c>
    </row>
    <row r="19" spans="1:4" ht="14.5" x14ac:dyDescent="0.35">
      <c r="A19" s="8" t="s">
        <v>123</v>
      </c>
      <c r="B19" s="21">
        <f>SUM(B2:B18)</f>
        <v>25164.341530737343</v>
      </c>
      <c r="C19" s="8"/>
      <c r="D19" s="21">
        <f>SUM(D2:D18)</f>
        <v>9774.8800112274184</v>
      </c>
    </row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PDRB</vt:lpstr>
      <vt:lpstr>Peringkat PDRB Jawa Timur</vt:lpstr>
      <vt:lpstr>Investasi</vt:lpstr>
      <vt:lpstr>Realisasi PMDN</vt:lpstr>
      <vt:lpstr>SLQ</vt:lpstr>
      <vt:lpstr>Rasio Investasi</vt:lpstr>
      <vt:lpstr>ICOR</vt:lpstr>
      <vt:lpstr>Kebutuhan Investasi</vt:lpstr>
      <vt:lpstr>Klasifikasi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JULI YANDI RAHMAN</cp:lastModifiedBy>
  <dcterms:created xsi:type="dcterms:W3CDTF">2019-04-01T15:51:50Z</dcterms:created>
  <dcterms:modified xsi:type="dcterms:W3CDTF">2023-03-12T14:24:11Z</dcterms:modified>
</cp:coreProperties>
</file>