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ICOR DL Minggu\"/>
    </mc:Choice>
  </mc:AlternateContent>
  <xr:revisionPtr revIDLastSave="0" documentId="13_ncr:1_{EAE1A9AE-E0A0-484E-B407-D85DB573426E}" xr6:coauthVersionLast="47" xr6:coauthVersionMax="47" xr10:uidLastSave="{00000000-0000-0000-0000-000000000000}"/>
  <bookViews>
    <workbookView xWindow="-110" yWindow="-110" windowWidth="19420" windowHeight="10300" tabRatio="777" activeTab="4" xr2:uid="{7D59E234-5110-4AE9-981E-ADDE65E4750D}"/>
  </bookViews>
  <sheets>
    <sheet name="LQ" sheetId="1" r:id="rId1"/>
    <sheet name="KLASSEN" sheetId="2" r:id="rId2"/>
    <sheet name="RASIO INVESTASI" sheetId="3" r:id="rId3"/>
    <sheet name="ICOR" sheetId="5" r:id="rId4"/>
    <sheet name="KEBUTUHAN INVESTASI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6" i="4" l="1"/>
  <c r="J76" i="4" s="1"/>
  <c r="H77" i="4"/>
  <c r="J77" i="4" s="1"/>
  <c r="H78" i="4"/>
  <c r="H75" i="4"/>
  <c r="J75" i="4" s="1"/>
  <c r="H67" i="4"/>
  <c r="J67" i="4" s="1"/>
  <c r="H68" i="4"/>
  <c r="H69" i="4"/>
  <c r="H70" i="4"/>
  <c r="J70" i="4" s="1"/>
  <c r="H71" i="4"/>
  <c r="J71" i="4" s="1"/>
  <c r="H72" i="4"/>
  <c r="H73" i="4"/>
  <c r="H74" i="4"/>
  <c r="J74" i="4" s="1"/>
  <c r="J78" i="4"/>
  <c r="H66" i="4"/>
  <c r="I67" i="4"/>
  <c r="I68" i="4"/>
  <c r="I69" i="4"/>
  <c r="I70" i="4"/>
  <c r="I71" i="4"/>
  <c r="I72" i="4"/>
  <c r="I73" i="4"/>
  <c r="I74" i="4"/>
  <c r="I75" i="4"/>
  <c r="I76" i="4"/>
  <c r="I77" i="4"/>
  <c r="I78" i="4"/>
  <c r="I66" i="4"/>
  <c r="J73" i="4"/>
  <c r="J72" i="4"/>
  <c r="J69" i="4"/>
  <c r="J68" i="4"/>
  <c r="J66" i="4"/>
  <c r="H44" i="4"/>
  <c r="J44" i="4" s="1"/>
  <c r="H45" i="4"/>
  <c r="J45" i="4" s="1"/>
  <c r="H46" i="4"/>
  <c r="H43" i="4"/>
  <c r="J43" i="4" s="1"/>
  <c r="H60" i="4"/>
  <c r="J60" i="4" s="1"/>
  <c r="H61" i="4"/>
  <c r="J61" i="4" s="1"/>
  <c r="H62" i="4"/>
  <c r="J62" i="4" s="1"/>
  <c r="H59" i="4"/>
  <c r="J59" i="4" s="1"/>
  <c r="K59" i="4" s="1"/>
  <c r="H51" i="4"/>
  <c r="H52" i="4"/>
  <c r="H53" i="4"/>
  <c r="H54" i="4"/>
  <c r="J54" i="4" s="1"/>
  <c r="K54" i="4" s="1"/>
  <c r="H55" i="4"/>
  <c r="H56" i="4"/>
  <c r="J56" i="4" s="1"/>
  <c r="K56" i="4" s="1"/>
  <c r="H57" i="4"/>
  <c r="H58" i="4"/>
  <c r="J58" i="4" s="1"/>
  <c r="H50" i="4"/>
  <c r="J50" i="4" s="1"/>
  <c r="K50" i="4" s="1"/>
  <c r="I51" i="4"/>
  <c r="I52" i="4"/>
  <c r="I53" i="4"/>
  <c r="I54" i="4"/>
  <c r="I55" i="4"/>
  <c r="I56" i="4"/>
  <c r="I57" i="4"/>
  <c r="I58" i="4"/>
  <c r="I59" i="4"/>
  <c r="I60" i="4"/>
  <c r="I61" i="4"/>
  <c r="I62" i="4"/>
  <c r="I50" i="4"/>
  <c r="J57" i="4"/>
  <c r="K57" i="4" s="1"/>
  <c r="J55" i="4"/>
  <c r="K55" i="4" s="1"/>
  <c r="J53" i="4"/>
  <c r="K53" i="4" s="1"/>
  <c r="J52" i="4"/>
  <c r="K52" i="4"/>
  <c r="J51" i="4"/>
  <c r="K51" i="4" s="1"/>
  <c r="H35" i="4"/>
  <c r="H36" i="4"/>
  <c r="J36" i="4" s="1"/>
  <c r="H37" i="4"/>
  <c r="H38" i="4"/>
  <c r="H39" i="4"/>
  <c r="H40" i="4"/>
  <c r="J40" i="4" s="1"/>
  <c r="H41" i="4"/>
  <c r="J41" i="4" s="1"/>
  <c r="H42" i="4"/>
  <c r="J42" i="4" s="1"/>
  <c r="H34" i="4"/>
  <c r="J34" i="4" s="1"/>
  <c r="I34" i="4"/>
  <c r="I46" i="4"/>
  <c r="J46" i="4"/>
  <c r="I45" i="4"/>
  <c r="I44" i="4"/>
  <c r="I43" i="4"/>
  <c r="I42" i="4"/>
  <c r="I41" i="4"/>
  <c r="I40" i="4"/>
  <c r="I39" i="4"/>
  <c r="J39" i="4"/>
  <c r="I38" i="4"/>
  <c r="J38" i="4"/>
  <c r="I37" i="4"/>
  <c r="J37" i="4"/>
  <c r="I36" i="4"/>
  <c r="I35" i="4"/>
  <c r="J35" i="4"/>
  <c r="H28" i="4"/>
  <c r="H29" i="4"/>
  <c r="H30" i="4"/>
  <c r="J30" i="4" s="1"/>
  <c r="H27" i="4"/>
  <c r="I19" i="4"/>
  <c r="I20" i="4"/>
  <c r="I21" i="4"/>
  <c r="I22" i="4"/>
  <c r="I23" i="4"/>
  <c r="I24" i="4"/>
  <c r="I25" i="4"/>
  <c r="I26" i="4"/>
  <c r="I27" i="4"/>
  <c r="I28" i="4"/>
  <c r="I29" i="4"/>
  <c r="I30" i="4"/>
  <c r="I18" i="4"/>
  <c r="H19" i="4"/>
  <c r="J19" i="4" s="1"/>
  <c r="H20" i="4"/>
  <c r="H21" i="4"/>
  <c r="J21" i="4" s="1"/>
  <c r="H22" i="4"/>
  <c r="H23" i="4"/>
  <c r="H24" i="4"/>
  <c r="H25" i="4"/>
  <c r="H26" i="4"/>
  <c r="J26" i="4" s="1"/>
  <c r="K26" i="4" s="1"/>
  <c r="J27" i="4"/>
  <c r="J29" i="4"/>
  <c r="H18" i="4"/>
  <c r="J18" i="4" s="1"/>
  <c r="J28" i="4"/>
  <c r="K28" i="4" s="1"/>
  <c r="J25" i="4"/>
  <c r="J24" i="4"/>
  <c r="J23" i="4"/>
  <c r="J22" i="4"/>
  <c r="K22" i="4" s="1"/>
  <c r="J20" i="4"/>
  <c r="K20" i="4" s="1"/>
  <c r="B76" i="4"/>
  <c r="D76" i="4" s="1"/>
  <c r="B77" i="4"/>
  <c r="B78" i="4"/>
  <c r="D78" i="4" s="1"/>
  <c r="B75" i="4"/>
  <c r="B60" i="4"/>
  <c r="B61" i="4"/>
  <c r="B62" i="4"/>
  <c r="B59" i="4"/>
  <c r="B44" i="4"/>
  <c r="D44" i="4" s="1"/>
  <c r="E44" i="4" s="1"/>
  <c r="B45" i="4"/>
  <c r="D45" i="4" s="1"/>
  <c r="B46" i="4"/>
  <c r="D46" i="4" s="1"/>
  <c r="B43" i="4"/>
  <c r="B28" i="4"/>
  <c r="B29" i="4"/>
  <c r="B30" i="4"/>
  <c r="B27" i="4"/>
  <c r="B67" i="4"/>
  <c r="B68" i="4"/>
  <c r="D68" i="4" s="1"/>
  <c r="B69" i="4"/>
  <c r="B70" i="4"/>
  <c r="B71" i="4"/>
  <c r="B72" i="4"/>
  <c r="B73" i="4"/>
  <c r="B74" i="4"/>
  <c r="D74" i="4" s="1"/>
  <c r="B66" i="4"/>
  <c r="D66" i="4" s="1"/>
  <c r="C67" i="4"/>
  <c r="C68" i="4"/>
  <c r="C69" i="4"/>
  <c r="C70" i="4"/>
  <c r="C71" i="4"/>
  <c r="C72" i="4"/>
  <c r="C73" i="4"/>
  <c r="C74" i="4"/>
  <c r="C75" i="4"/>
  <c r="C76" i="4"/>
  <c r="C77" i="4"/>
  <c r="C78" i="4"/>
  <c r="C66" i="4"/>
  <c r="D73" i="4"/>
  <c r="E73" i="4" s="1"/>
  <c r="D72" i="4"/>
  <c r="D70" i="4"/>
  <c r="B51" i="4"/>
  <c r="B52" i="4"/>
  <c r="B53" i="4"/>
  <c r="B54" i="4"/>
  <c r="B55" i="4"/>
  <c r="B56" i="4"/>
  <c r="B57" i="4"/>
  <c r="B58" i="4"/>
  <c r="D58" i="4" s="1"/>
  <c r="D62" i="4"/>
  <c r="E62" i="4" s="1"/>
  <c r="B50" i="4"/>
  <c r="C51" i="4"/>
  <c r="C52" i="4"/>
  <c r="C53" i="4"/>
  <c r="C54" i="4"/>
  <c r="C55" i="4"/>
  <c r="C56" i="4"/>
  <c r="C57" i="4"/>
  <c r="C58" i="4"/>
  <c r="C59" i="4"/>
  <c r="C60" i="4"/>
  <c r="C61" i="4"/>
  <c r="C62" i="4"/>
  <c r="C50" i="4"/>
  <c r="D60" i="4"/>
  <c r="E60" i="4" s="1"/>
  <c r="D56" i="4"/>
  <c r="D54" i="4"/>
  <c r="E54" i="4" s="1"/>
  <c r="D52" i="4"/>
  <c r="E52" i="4" s="1"/>
  <c r="D50" i="4"/>
  <c r="B35" i="4"/>
  <c r="B36" i="4"/>
  <c r="B37" i="4"/>
  <c r="B38" i="4"/>
  <c r="E38" i="4" s="1"/>
  <c r="B39" i="4"/>
  <c r="B40" i="4"/>
  <c r="B41" i="4"/>
  <c r="B42" i="4"/>
  <c r="D42" i="4" s="1"/>
  <c r="C35" i="4"/>
  <c r="C36" i="4"/>
  <c r="C37" i="4"/>
  <c r="C38" i="4"/>
  <c r="C39" i="4"/>
  <c r="C40" i="4"/>
  <c r="C41" i="4"/>
  <c r="C42" i="4"/>
  <c r="C43" i="4"/>
  <c r="C44" i="4"/>
  <c r="C45" i="4"/>
  <c r="C46" i="4"/>
  <c r="C34" i="4"/>
  <c r="B34" i="4"/>
  <c r="D40" i="4"/>
  <c r="D38" i="4"/>
  <c r="D36" i="4"/>
  <c r="D34" i="4"/>
  <c r="B19" i="4"/>
  <c r="B20" i="4"/>
  <c r="D20" i="4" s="1"/>
  <c r="E20" i="4" s="1"/>
  <c r="B21" i="4"/>
  <c r="D21" i="4" s="1"/>
  <c r="B22" i="4"/>
  <c r="D22" i="4" s="1"/>
  <c r="B23" i="4"/>
  <c r="B24" i="4"/>
  <c r="B25" i="4"/>
  <c r="B26" i="4"/>
  <c r="D28" i="4"/>
  <c r="D29" i="4"/>
  <c r="D30" i="4"/>
  <c r="E30" i="4" s="1"/>
  <c r="B18" i="4"/>
  <c r="D18" i="4" s="1"/>
  <c r="B2" i="4"/>
  <c r="C19" i="4"/>
  <c r="C20" i="4"/>
  <c r="C21" i="4"/>
  <c r="C22" i="4"/>
  <c r="C23" i="4"/>
  <c r="C24" i="4"/>
  <c r="C25" i="4"/>
  <c r="C26" i="4"/>
  <c r="C27" i="4"/>
  <c r="C28" i="4"/>
  <c r="C29" i="4"/>
  <c r="C30" i="4"/>
  <c r="C18" i="4"/>
  <c r="D27" i="4"/>
  <c r="D26" i="4"/>
  <c r="D25" i="4"/>
  <c r="D24" i="4"/>
  <c r="D23" i="4"/>
  <c r="D19" i="4"/>
  <c r="I4" i="3"/>
  <c r="J4" i="3"/>
  <c r="K4" i="3"/>
  <c r="L4" i="3"/>
  <c r="M4" i="3"/>
  <c r="I5" i="3"/>
  <c r="J5" i="3"/>
  <c r="K5" i="3"/>
  <c r="L5" i="3"/>
  <c r="M5" i="3"/>
  <c r="I6" i="3"/>
  <c r="J6" i="3"/>
  <c r="K6" i="3"/>
  <c r="L6" i="3"/>
  <c r="M6" i="3"/>
  <c r="I7" i="3"/>
  <c r="J7" i="3"/>
  <c r="K7" i="3"/>
  <c r="L7" i="3"/>
  <c r="M7" i="3"/>
  <c r="I8" i="3"/>
  <c r="J8" i="3"/>
  <c r="K8" i="3"/>
  <c r="L8" i="3"/>
  <c r="M8" i="3"/>
  <c r="I9" i="3"/>
  <c r="J9" i="3"/>
  <c r="K9" i="3"/>
  <c r="L9" i="3"/>
  <c r="M9" i="3"/>
  <c r="I10" i="3"/>
  <c r="J10" i="3"/>
  <c r="K10" i="3"/>
  <c r="L10" i="3"/>
  <c r="M10" i="3"/>
  <c r="I11" i="3"/>
  <c r="J11" i="3"/>
  <c r="K11" i="3"/>
  <c r="L11" i="3"/>
  <c r="M11" i="3"/>
  <c r="I12" i="3"/>
  <c r="J12" i="3"/>
  <c r="K12" i="3"/>
  <c r="L12" i="3"/>
  <c r="M12" i="3"/>
  <c r="I13" i="3"/>
  <c r="J13" i="3"/>
  <c r="K13" i="3"/>
  <c r="L13" i="3"/>
  <c r="M13" i="3"/>
  <c r="I14" i="3"/>
  <c r="J14" i="3"/>
  <c r="K14" i="3"/>
  <c r="L14" i="3"/>
  <c r="M14" i="3"/>
  <c r="I15" i="3"/>
  <c r="J15" i="3"/>
  <c r="K15" i="3"/>
  <c r="L15" i="3"/>
  <c r="M15" i="3"/>
  <c r="I16" i="3"/>
  <c r="J16" i="3"/>
  <c r="K16" i="3"/>
  <c r="L16" i="3"/>
  <c r="M16" i="3"/>
  <c r="I17" i="3"/>
  <c r="J17" i="3"/>
  <c r="K17" i="3"/>
  <c r="L17" i="3"/>
  <c r="M17" i="3"/>
  <c r="I18" i="3"/>
  <c r="J18" i="3"/>
  <c r="K18" i="3"/>
  <c r="L18" i="3"/>
  <c r="M18" i="3"/>
  <c r="I19" i="3"/>
  <c r="J19" i="3"/>
  <c r="K19" i="3"/>
  <c r="L19" i="3"/>
  <c r="M19" i="3"/>
  <c r="M3" i="3"/>
  <c r="L3" i="3"/>
  <c r="K3" i="3"/>
  <c r="J3" i="3"/>
  <c r="I3" i="3"/>
  <c r="J20" i="3"/>
  <c r="K20" i="3"/>
  <c r="L20" i="3"/>
  <c r="M20" i="3"/>
  <c r="N20" i="3"/>
  <c r="I20" i="3"/>
  <c r="K67" i="4" l="1"/>
  <c r="K71" i="4"/>
  <c r="K75" i="4"/>
  <c r="K68" i="4"/>
  <c r="K72" i="4"/>
  <c r="K76" i="4"/>
  <c r="K69" i="4"/>
  <c r="K73" i="4"/>
  <c r="K77" i="4"/>
  <c r="K66" i="4"/>
  <c r="K70" i="4"/>
  <c r="K74" i="4"/>
  <c r="K78" i="4"/>
  <c r="K60" i="4"/>
  <c r="K58" i="4"/>
  <c r="K62" i="4"/>
  <c r="K61" i="4"/>
  <c r="K37" i="4"/>
  <c r="K41" i="4"/>
  <c r="K45" i="4"/>
  <c r="K34" i="4"/>
  <c r="K46" i="4"/>
  <c r="K35" i="4"/>
  <c r="K39" i="4"/>
  <c r="K43" i="4"/>
  <c r="K38" i="4"/>
  <c r="K36" i="4"/>
  <c r="K40" i="4"/>
  <c r="K44" i="4"/>
  <c r="K42" i="4"/>
  <c r="K24" i="4"/>
  <c r="K30" i="4"/>
  <c r="K18" i="4"/>
  <c r="K23" i="4"/>
  <c r="K27" i="4"/>
  <c r="K25" i="4"/>
  <c r="K19" i="4"/>
  <c r="K29" i="4"/>
  <c r="K21" i="4"/>
  <c r="E46" i="4"/>
  <c r="D77" i="4"/>
  <c r="E77" i="4" s="1"/>
  <c r="E71" i="4"/>
  <c r="E68" i="4"/>
  <c r="E72" i="4"/>
  <c r="E76" i="4"/>
  <c r="E66" i="4"/>
  <c r="E70" i="4"/>
  <c r="E74" i="4"/>
  <c r="E78" i="4"/>
  <c r="D67" i="4"/>
  <c r="E67" i="4" s="1"/>
  <c r="D69" i="4"/>
  <c r="E69" i="4" s="1"/>
  <c r="D71" i="4"/>
  <c r="D75" i="4"/>
  <c r="E75" i="4" s="1"/>
  <c r="D57" i="4"/>
  <c r="E57" i="4" s="1"/>
  <c r="E56" i="4"/>
  <c r="E58" i="4"/>
  <c r="E50" i="4"/>
  <c r="D51" i="4"/>
  <c r="E51" i="4" s="1"/>
  <c r="D55" i="4"/>
  <c r="E55" i="4" s="1"/>
  <c r="D59" i="4"/>
  <c r="E59" i="4" s="1"/>
  <c r="D61" i="4"/>
  <c r="E61" i="4" s="1"/>
  <c r="D53" i="4"/>
  <c r="E53" i="4" s="1"/>
  <c r="E36" i="4"/>
  <c r="E42" i="4"/>
  <c r="E40" i="4"/>
  <c r="E34" i="4"/>
  <c r="E45" i="4"/>
  <c r="D35" i="4"/>
  <c r="E35" i="4" s="1"/>
  <c r="D37" i="4"/>
  <c r="E37" i="4" s="1"/>
  <c r="D39" i="4"/>
  <c r="E39" i="4" s="1"/>
  <c r="D41" i="4"/>
  <c r="E41" i="4" s="1"/>
  <c r="D43" i="4"/>
  <c r="E43" i="4" s="1"/>
  <c r="E28" i="4"/>
  <c r="E22" i="4"/>
  <c r="E19" i="4"/>
  <c r="E26" i="4"/>
  <c r="E24" i="4"/>
  <c r="E18" i="4"/>
  <c r="E21" i="4"/>
  <c r="E25" i="4"/>
  <c r="E27" i="4"/>
  <c r="E29" i="4"/>
  <c r="E23" i="4"/>
  <c r="H20" i="3"/>
  <c r="J3" i="4"/>
  <c r="J4" i="4"/>
  <c r="J5" i="4"/>
  <c r="J6" i="4"/>
  <c r="J7" i="4"/>
  <c r="J8" i="4"/>
  <c r="J9" i="4"/>
  <c r="J10" i="4"/>
  <c r="J11" i="4"/>
  <c r="J12" i="4"/>
  <c r="J13" i="4"/>
  <c r="J14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2" i="4"/>
  <c r="D4" i="4"/>
  <c r="D12" i="4"/>
  <c r="B12" i="4"/>
  <c r="B13" i="4"/>
  <c r="D13" i="4" s="1"/>
  <c r="B14" i="4"/>
  <c r="D14" i="4" s="1"/>
  <c r="B11" i="4"/>
  <c r="D11" i="4" s="1"/>
  <c r="B3" i="4"/>
  <c r="D3" i="4" s="1"/>
  <c r="B4" i="4"/>
  <c r="B5" i="4"/>
  <c r="D5" i="4" s="1"/>
  <c r="B6" i="4"/>
  <c r="D6" i="4" s="1"/>
  <c r="B7" i="4"/>
  <c r="D7" i="4" s="1"/>
  <c r="B8" i="4"/>
  <c r="D8" i="4" s="1"/>
  <c r="B9" i="4"/>
  <c r="D9" i="4" s="1"/>
  <c r="B10" i="4"/>
  <c r="D10" i="4" s="1"/>
  <c r="D2" i="4"/>
  <c r="M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4" i="5"/>
  <c r="I20" i="5"/>
  <c r="D41" i="5" s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F38" i="5" s="1"/>
  <c r="L18" i="5"/>
  <c r="L19" i="5"/>
  <c r="L20" i="5"/>
  <c r="L4" i="5"/>
  <c r="M6" i="5"/>
  <c r="F27" i="5" s="1"/>
  <c r="M7" i="5"/>
  <c r="F28" i="5" s="1"/>
  <c r="M8" i="5"/>
  <c r="F29" i="5" s="1"/>
  <c r="M9" i="5"/>
  <c r="F30" i="5" s="1"/>
  <c r="M14" i="5"/>
  <c r="F35" i="5" s="1"/>
  <c r="M15" i="5"/>
  <c r="F36" i="5" s="1"/>
  <c r="M16" i="5"/>
  <c r="F37" i="5" s="1"/>
  <c r="M17" i="5"/>
  <c r="K5" i="5"/>
  <c r="E26" i="5" s="1"/>
  <c r="K6" i="5"/>
  <c r="E27" i="5" s="1"/>
  <c r="K7" i="5"/>
  <c r="E28" i="5" s="1"/>
  <c r="K8" i="5"/>
  <c r="K9" i="5"/>
  <c r="E30" i="5" s="1"/>
  <c r="K10" i="5"/>
  <c r="E31" i="5" s="1"/>
  <c r="K11" i="5"/>
  <c r="K12" i="5"/>
  <c r="K13" i="5"/>
  <c r="E34" i="5" s="1"/>
  <c r="K14" i="5"/>
  <c r="E35" i="5" s="1"/>
  <c r="K15" i="5"/>
  <c r="E36" i="5" s="1"/>
  <c r="K16" i="5"/>
  <c r="K17" i="5"/>
  <c r="E38" i="5" s="1"/>
  <c r="K18" i="5"/>
  <c r="E39" i="5" s="1"/>
  <c r="K19" i="5"/>
  <c r="K20" i="5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3" i="3"/>
  <c r="K4" i="5"/>
  <c r="E25" i="5" s="1"/>
  <c r="I5" i="5"/>
  <c r="D26" i="5" s="1"/>
  <c r="I6" i="5"/>
  <c r="I7" i="5"/>
  <c r="I8" i="5"/>
  <c r="D29" i="5" s="1"/>
  <c r="I9" i="5"/>
  <c r="D30" i="5" s="1"/>
  <c r="I10" i="5"/>
  <c r="I11" i="5"/>
  <c r="D32" i="5" s="1"/>
  <c r="I12" i="5"/>
  <c r="D33" i="5" s="1"/>
  <c r="I13" i="5"/>
  <c r="D34" i="5" s="1"/>
  <c r="I14" i="5"/>
  <c r="I15" i="5"/>
  <c r="I16" i="5"/>
  <c r="D37" i="5" s="1"/>
  <c r="I17" i="5"/>
  <c r="D38" i="5" s="1"/>
  <c r="I18" i="5"/>
  <c r="I19" i="5"/>
  <c r="D40" i="5" s="1"/>
  <c r="I4" i="5"/>
  <c r="D25" i="5" s="1"/>
  <c r="G5" i="5"/>
  <c r="G6" i="5"/>
  <c r="C27" i="5" s="1"/>
  <c r="G7" i="5"/>
  <c r="C28" i="5" s="1"/>
  <c r="G8" i="5"/>
  <c r="G9" i="5"/>
  <c r="G10" i="5"/>
  <c r="G11" i="5"/>
  <c r="C32" i="5" s="1"/>
  <c r="G12" i="5"/>
  <c r="G13" i="5"/>
  <c r="G14" i="5"/>
  <c r="C35" i="5" s="1"/>
  <c r="G15" i="5"/>
  <c r="C36" i="5" s="1"/>
  <c r="G16" i="5"/>
  <c r="G17" i="5"/>
  <c r="G18" i="5"/>
  <c r="G19" i="5"/>
  <c r="C40" i="5" s="1"/>
  <c r="G20" i="5"/>
  <c r="G4" i="5"/>
  <c r="E5" i="5"/>
  <c r="B26" i="5" s="1"/>
  <c r="G26" i="5" s="1"/>
  <c r="E6" i="5"/>
  <c r="B27" i="5" s="1"/>
  <c r="E7" i="5"/>
  <c r="B28" i="5" s="1"/>
  <c r="E8" i="5"/>
  <c r="B29" i="5" s="1"/>
  <c r="E9" i="5"/>
  <c r="B30" i="5" s="1"/>
  <c r="E10" i="5"/>
  <c r="B31" i="5" s="1"/>
  <c r="E11" i="5"/>
  <c r="B32" i="5" s="1"/>
  <c r="E12" i="5"/>
  <c r="B33" i="5" s="1"/>
  <c r="E13" i="5"/>
  <c r="B34" i="5" s="1"/>
  <c r="E14" i="5"/>
  <c r="B35" i="5" s="1"/>
  <c r="E15" i="5"/>
  <c r="B36" i="5" s="1"/>
  <c r="E16" i="5"/>
  <c r="B37" i="5" s="1"/>
  <c r="E17" i="5"/>
  <c r="B38" i="5" s="1"/>
  <c r="E18" i="5"/>
  <c r="B39" i="5" s="1"/>
  <c r="E19" i="5"/>
  <c r="B40" i="5" s="1"/>
  <c r="E20" i="5"/>
  <c r="B41" i="5" s="1"/>
  <c r="E4" i="5"/>
  <c r="B25" i="5" s="1"/>
  <c r="M5" i="5"/>
  <c r="C6" i="5"/>
  <c r="C7" i="5"/>
  <c r="C8" i="5"/>
  <c r="C9" i="5"/>
  <c r="M10" i="5"/>
  <c r="F31" i="5" s="1"/>
  <c r="M11" i="5"/>
  <c r="F32" i="5" s="1"/>
  <c r="C12" i="5"/>
  <c r="M13" i="5"/>
  <c r="C14" i="5"/>
  <c r="C15" i="5"/>
  <c r="C16" i="5"/>
  <c r="C17" i="5"/>
  <c r="M18" i="5"/>
  <c r="F39" i="5" s="1"/>
  <c r="C19" i="5"/>
  <c r="C20" i="5"/>
  <c r="C4" i="5"/>
  <c r="B29" i="1"/>
  <c r="C29" i="1"/>
  <c r="D29" i="1"/>
  <c r="E29" i="1"/>
  <c r="F29" i="1"/>
  <c r="H29" i="1"/>
  <c r="B30" i="1"/>
  <c r="C30" i="1"/>
  <c r="D30" i="1"/>
  <c r="H30" i="1"/>
  <c r="B31" i="1"/>
  <c r="C31" i="1"/>
  <c r="D31" i="1"/>
  <c r="H31" i="1" s="1"/>
  <c r="E31" i="1"/>
  <c r="F31" i="1"/>
  <c r="B41" i="1"/>
  <c r="C41" i="1"/>
  <c r="D41" i="1"/>
  <c r="H41" i="1" s="1"/>
  <c r="E41" i="1"/>
  <c r="F41" i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3" i="3"/>
  <c r="AB20" i="2"/>
  <c r="V20" i="2"/>
  <c r="AB19" i="2"/>
  <c r="V19" i="2"/>
  <c r="AB18" i="2"/>
  <c r="V18" i="2"/>
  <c r="AB17" i="2"/>
  <c r="V17" i="2"/>
  <c r="AB16" i="2"/>
  <c r="V16" i="2"/>
  <c r="AB15" i="2"/>
  <c r="V15" i="2"/>
  <c r="AB14" i="2"/>
  <c r="V14" i="2"/>
  <c r="AB13" i="2"/>
  <c r="V13" i="2"/>
  <c r="AB12" i="2"/>
  <c r="V12" i="2"/>
  <c r="AB11" i="2"/>
  <c r="V11" i="2"/>
  <c r="AB10" i="2"/>
  <c r="V10" i="2"/>
  <c r="AB9" i="2"/>
  <c r="V9" i="2"/>
  <c r="AB8" i="2"/>
  <c r="V8" i="2"/>
  <c r="AB7" i="2"/>
  <c r="V7" i="2"/>
  <c r="AB6" i="2"/>
  <c r="V6" i="2"/>
  <c r="AB5" i="2"/>
  <c r="V5" i="2"/>
  <c r="AB4" i="2"/>
  <c r="V4" i="2"/>
  <c r="AB3" i="2"/>
  <c r="V3" i="2"/>
  <c r="E37" i="5" l="1"/>
  <c r="E29" i="5"/>
  <c r="E41" i="5"/>
  <c r="E33" i="5"/>
  <c r="E40" i="5"/>
  <c r="E32" i="5"/>
  <c r="G32" i="5" s="1"/>
  <c r="C6" i="4" s="1"/>
  <c r="E6" i="4" s="1"/>
  <c r="D35" i="5"/>
  <c r="G35" i="5" s="1"/>
  <c r="C9" i="4" s="1"/>
  <c r="I9" i="4" s="1"/>
  <c r="K9" i="4" s="1"/>
  <c r="D36" i="5"/>
  <c r="G36" i="5" s="1"/>
  <c r="C10" i="4" s="1"/>
  <c r="I10" i="4" s="1"/>
  <c r="K10" i="4" s="1"/>
  <c r="D28" i="5"/>
  <c r="G28" i="5" s="1"/>
  <c r="C2" i="4" s="1"/>
  <c r="I2" i="4" s="1"/>
  <c r="K2" i="4" s="1"/>
  <c r="D27" i="5"/>
  <c r="G27" i="5" s="1"/>
  <c r="D31" i="5"/>
  <c r="C37" i="5"/>
  <c r="C29" i="5"/>
  <c r="C39" i="5"/>
  <c r="C25" i="5"/>
  <c r="C34" i="5"/>
  <c r="C26" i="5"/>
  <c r="C41" i="5"/>
  <c r="C33" i="5"/>
  <c r="C38" i="5"/>
  <c r="C30" i="5"/>
  <c r="G30" i="5" s="1"/>
  <c r="C4" i="4" s="1"/>
  <c r="I4" i="4" s="1"/>
  <c r="K4" i="4" s="1"/>
  <c r="G38" i="5"/>
  <c r="C11" i="4" s="1"/>
  <c r="I11" i="4" s="1"/>
  <c r="K11" i="4" s="1"/>
  <c r="C10" i="5"/>
  <c r="M20" i="5"/>
  <c r="F41" i="5" s="1"/>
  <c r="M12" i="5"/>
  <c r="F33" i="5" s="1"/>
  <c r="F25" i="5"/>
  <c r="F34" i="5"/>
  <c r="F26" i="5"/>
  <c r="C11" i="5"/>
  <c r="C18" i="5"/>
  <c r="M19" i="5"/>
  <c r="F40" i="5" s="1"/>
  <c r="G40" i="5" s="1"/>
  <c r="C13" i="4" s="1"/>
  <c r="I13" i="4" s="1"/>
  <c r="K13" i="4" s="1"/>
  <c r="C13" i="5"/>
  <c r="C5" i="5"/>
  <c r="C31" i="5"/>
  <c r="G31" i="5" s="1"/>
  <c r="C5" i="4" s="1"/>
  <c r="D39" i="5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3" i="2"/>
  <c r="G39" i="5" l="1"/>
  <c r="C12" i="4" s="1"/>
  <c r="I12" i="4" s="1"/>
  <c r="K12" i="4" s="1"/>
  <c r="G25" i="5"/>
  <c r="E11" i="4"/>
  <c r="G29" i="5"/>
  <c r="C3" i="4" s="1"/>
  <c r="I3" i="4" s="1"/>
  <c r="K3" i="4" s="1"/>
  <c r="G37" i="5"/>
  <c r="E2" i="4"/>
  <c r="G41" i="5"/>
  <c r="C14" i="4" s="1"/>
  <c r="I14" i="4" s="1"/>
  <c r="K14" i="4" s="1"/>
  <c r="E9" i="4"/>
  <c r="E10" i="4"/>
  <c r="I5" i="4"/>
  <c r="K5" i="4" s="1"/>
  <c r="E5" i="4"/>
  <c r="E13" i="4"/>
  <c r="E12" i="4"/>
  <c r="G34" i="5"/>
  <c r="C8" i="4" s="1"/>
  <c r="I8" i="4" s="1"/>
  <c r="K8" i="4" s="1"/>
  <c r="G33" i="5"/>
  <c r="C7" i="4" s="1"/>
  <c r="I7" i="4" s="1"/>
  <c r="K7" i="4" s="1"/>
  <c r="E4" i="4"/>
  <c r="I6" i="4"/>
  <c r="K6" i="4" s="1"/>
  <c r="O52" i="1"/>
  <c r="P52" i="1"/>
  <c r="Q52" i="1"/>
  <c r="R52" i="1"/>
  <c r="S52" i="1"/>
  <c r="O53" i="1"/>
  <c r="P53" i="1"/>
  <c r="Q53" i="1"/>
  <c r="R53" i="1"/>
  <c r="S53" i="1"/>
  <c r="O54" i="1"/>
  <c r="P54" i="1"/>
  <c r="Q54" i="1"/>
  <c r="R54" i="1"/>
  <c r="S54" i="1"/>
  <c r="O55" i="1"/>
  <c r="P55" i="1"/>
  <c r="Q55" i="1"/>
  <c r="R55" i="1"/>
  <c r="S55" i="1"/>
  <c r="O56" i="1"/>
  <c r="P56" i="1"/>
  <c r="Q56" i="1"/>
  <c r="R56" i="1"/>
  <c r="S56" i="1"/>
  <c r="O57" i="1"/>
  <c r="P57" i="1"/>
  <c r="Q57" i="1"/>
  <c r="R57" i="1"/>
  <c r="S57" i="1"/>
  <c r="O58" i="1"/>
  <c r="P58" i="1"/>
  <c r="Q58" i="1"/>
  <c r="R58" i="1"/>
  <c r="S58" i="1"/>
  <c r="O59" i="1"/>
  <c r="P59" i="1"/>
  <c r="Q59" i="1"/>
  <c r="R59" i="1"/>
  <c r="S59" i="1"/>
  <c r="O60" i="1"/>
  <c r="P60" i="1"/>
  <c r="Q60" i="1"/>
  <c r="R60" i="1"/>
  <c r="S60" i="1"/>
  <c r="O61" i="1"/>
  <c r="P61" i="1"/>
  <c r="Q61" i="1"/>
  <c r="R61" i="1"/>
  <c r="S61" i="1"/>
  <c r="O62" i="1"/>
  <c r="P62" i="1"/>
  <c r="Q62" i="1"/>
  <c r="R62" i="1"/>
  <c r="S62" i="1"/>
  <c r="O63" i="1"/>
  <c r="P63" i="1"/>
  <c r="Q63" i="1"/>
  <c r="R63" i="1"/>
  <c r="S63" i="1"/>
  <c r="O64" i="1"/>
  <c r="P64" i="1"/>
  <c r="Q64" i="1"/>
  <c r="R64" i="1"/>
  <c r="S64" i="1"/>
  <c r="O65" i="1"/>
  <c r="P65" i="1"/>
  <c r="Q65" i="1"/>
  <c r="R65" i="1"/>
  <c r="S65" i="1"/>
  <c r="O66" i="1"/>
  <c r="P66" i="1"/>
  <c r="Q66" i="1"/>
  <c r="R66" i="1"/>
  <c r="S66" i="1"/>
  <c r="O67" i="1"/>
  <c r="P67" i="1"/>
  <c r="Q67" i="1"/>
  <c r="R67" i="1"/>
  <c r="S67" i="1"/>
  <c r="O68" i="1"/>
  <c r="P68" i="1"/>
  <c r="Q68" i="1"/>
  <c r="R68" i="1"/>
  <c r="S68" i="1"/>
  <c r="P51" i="1"/>
  <c r="Q51" i="1"/>
  <c r="R51" i="1"/>
  <c r="S51" i="1"/>
  <c r="O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K66" i="1"/>
  <c r="L66" i="1"/>
  <c r="M66" i="1"/>
  <c r="I67" i="1"/>
  <c r="J67" i="1"/>
  <c r="K67" i="1"/>
  <c r="L67" i="1"/>
  <c r="M67" i="1"/>
  <c r="I51" i="1"/>
  <c r="J51" i="1"/>
  <c r="K51" i="1"/>
  <c r="L51" i="1"/>
  <c r="M51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4" i="1"/>
  <c r="N5" i="1"/>
  <c r="M20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J4" i="1"/>
  <c r="K4" i="1"/>
  <c r="L4" i="1"/>
  <c r="M6" i="1"/>
  <c r="M7" i="1"/>
  <c r="M8" i="1"/>
  <c r="M9" i="1"/>
  <c r="M10" i="1"/>
  <c r="M11" i="1"/>
  <c r="M12" i="1"/>
  <c r="M13" i="1"/>
  <c r="M14" i="1"/>
  <c r="M15" i="1"/>
  <c r="I4" i="1" s="1"/>
  <c r="M16" i="1"/>
  <c r="M17" i="1"/>
  <c r="M18" i="1"/>
  <c r="M19" i="1"/>
  <c r="M4" i="1"/>
  <c r="E14" i="4" l="1"/>
  <c r="E3" i="4"/>
  <c r="E7" i="4"/>
  <c r="E8" i="4"/>
  <c r="N67" i="1"/>
  <c r="N63" i="1"/>
  <c r="N59" i="1"/>
  <c r="N55" i="1"/>
  <c r="N66" i="1"/>
  <c r="N62" i="1"/>
  <c r="N58" i="1"/>
  <c r="N54" i="1"/>
  <c r="T51" i="1"/>
  <c r="T67" i="1"/>
  <c r="T65" i="1"/>
  <c r="T63" i="1"/>
  <c r="T61" i="1"/>
  <c r="T59" i="1"/>
  <c r="T57" i="1"/>
  <c r="T55" i="1"/>
  <c r="T53" i="1"/>
  <c r="T20" i="1"/>
  <c r="T16" i="1"/>
  <c r="T12" i="1"/>
  <c r="T8" i="1"/>
  <c r="N51" i="1"/>
  <c r="N65" i="1"/>
  <c r="N64" i="1"/>
  <c r="N61" i="1"/>
  <c r="N60" i="1"/>
  <c r="N57" i="1"/>
  <c r="N56" i="1"/>
  <c r="N53" i="1"/>
  <c r="N52" i="1"/>
  <c r="T68" i="1"/>
  <c r="T66" i="1"/>
  <c r="T64" i="1"/>
  <c r="T62" i="1"/>
  <c r="T60" i="1"/>
  <c r="T58" i="1"/>
  <c r="T56" i="1"/>
  <c r="T54" i="1"/>
  <c r="T52" i="1"/>
  <c r="T19" i="1"/>
  <c r="T15" i="1"/>
  <c r="T11" i="1"/>
  <c r="T7" i="1"/>
  <c r="T21" i="1"/>
  <c r="T17" i="1"/>
  <c r="T13" i="1"/>
  <c r="T9" i="1"/>
  <c r="T5" i="1"/>
  <c r="T18" i="1"/>
  <c r="T14" i="1"/>
  <c r="T10" i="1"/>
  <c r="T6" i="1"/>
  <c r="T4" i="1"/>
  <c r="N4" i="1"/>
  <c r="N17" i="1"/>
  <c r="N13" i="1"/>
  <c r="N9" i="1"/>
  <c r="N19" i="1"/>
  <c r="N15" i="1"/>
  <c r="N11" i="1"/>
  <c r="N7" i="1"/>
  <c r="N20" i="1"/>
  <c r="N16" i="1"/>
  <c r="N12" i="1"/>
  <c r="N8" i="1"/>
  <c r="N18" i="1"/>
  <c r="N14" i="1"/>
  <c r="N10" i="1"/>
  <c r="N6" i="1"/>
  <c r="F32" i="1"/>
  <c r="F33" i="1"/>
  <c r="F34" i="1"/>
  <c r="F35" i="1"/>
  <c r="F36" i="1"/>
  <c r="F37" i="1"/>
  <c r="F38" i="1"/>
  <c r="F39" i="1"/>
  <c r="F40" i="1"/>
  <c r="F42" i="1"/>
  <c r="F43" i="1"/>
  <c r="F44" i="1"/>
  <c r="F45" i="1"/>
  <c r="E32" i="1"/>
  <c r="E33" i="1"/>
  <c r="E34" i="1"/>
  <c r="E35" i="1"/>
  <c r="E36" i="1"/>
  <c r="E37" i="1"/>
  <c r="E38" i="1"/>
  <c r="E39" i="1"/>
  <c r="E40" i="1"/>
  <c r="E42" i="1"/>
  <c r="E43" i="1"/>
  <c r="E44" i="1"/>
  <c r="E45" i="1"/>
  <c r="D32" i="1"/>
  <c r="D33" i="1"/>
  <c r="D34" i="1"/>
  <c r="D35" i="1"/>
  <c r="D36" i="1"/>
  <c r="D37" i="1"/>
  <c r="D38" i="1"/>
  <c r="D39" i="1"/>
  <c r="D40" i="1"/>
  <c r="D42" i="1"/>
  <c r="D43" i="1"/>
  <c r="D44" i="1"/>
  <c r="D45" i="1"/>
  <c r="C32" i="1"/>
  <c r="C33" i="1"/>
  <c r="C34" i="1"/>
  <c r="C35" i="1"/>
  <c r="C36" i="1"/>
  <c r="C37" i="1"/>
  <c r="C38" i="1"/>
  <c r="C39" i="1"/>
  <c r="C40" i="1"/>
  <c r="C42" i="1"/>
  <c r="C43" i="1"/>
  <c r="C44" i="1"/>
  <c r="C45" i="1"/>
  <c r="B32" i="1"/>
  <c r="B33" i="1"/>
  <c r="B34" i="1"/>
  <c r="B35" i="1"/>
  <c r="B36" i="1"/>
  <c r="B37" i="1"/>
  <c r="B38" i="1"/>
  <c r="B39" i="1"/>
  <c r="B40" i="1"/>
  <c r="B42" i="1"/>
  <c r="B43" i="1"/>
  <c r="B44" i="1"/>
  <c r="B45" i="1"/>
  <c r="H43" i="1" l="1"/>
  <c r="H39" i="1"/>
  <c r="H35" i="1"/>
  <c r="H38" i="1"/>
  <c r="H34" i="1"/>
  <c r="H45" i="1"/>
  <c r="H37" i="1"/>
  <c r="H33" i="1"/>
  <c r="H42" i="1"/>
  <c r="H44" i="1"/>
  <c r="H40" i="1"/>
  <c r="H36" i="1"/>
  <c r="H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3" authorId="0" shapeId="0" xr:uid="{55E127CC-6A0E-459C-AA8E-3986953DD6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Menghitung investasinya seperti di contoh excel</t>
        </r>
      </text>
    </comment>
    <comment ref="B20" authorId="0" shapeId="0" xr:uid="{52CA9CED-7E5D-43E1-8BFA-F6AFD8FB00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Sama dengan total pengeluaran investasi. Datanya saya beri secara terpisah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3" authorId="0" shapeId="0" xr:uid="{BB578E64-D3DB-40D9-AB30-8F93A308D9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OUTPUT itu data PDRB (sudah ada di sheet LQ)</t>
        </r>
      </text>
    </comment>
    <comment ref="C4" authorId="0" shapeId="0" xr:uid="{801BC5CD-62E4-4E4C-8B26-58758F2A47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Hasil perhitungan investasi pada sheet sebelumnya</t>
        </r>
      </text>
    </comment>
    <comment ref="B22" authorId="0" shapeId="0" xr:uid="{9FE9A097-13D1-4939-A9E0-510B1B2B18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icor yang ideal 3-4 %</t>
        </r>
      </text>
    </comment>
  </commentList>
</comments>
</file>

<file path=xl/sharedStrings.xml><?xml version="1.0" encoding="utf-8"?>
<sst xmlns="http://schemas.openxmlformats.org/spreadsheetml/2006/main" count="468" uniqueCount="135">
  <si>
    <t>Lapangan Usaha</t>
  </si>
  <si>
    <t>PDRB seri 2010 Menurut Lapangan Usaha (Juta Rupiah)</t>
  </si>
  <si>
    <t>Harga Konstan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</si>
  <si>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</si>
  <si>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</si>
  <si>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</si>
  <si>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</si>
  <si>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</si>
  <si>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</si>
  <si>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</si>
  <si>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</si>
  <si>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</si>
  <si>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</si>
  <si>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</si>
  <si>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</si>
  <si>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M,N 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</si>
  <si>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</si>
  <si>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</si>
  <si>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</si>
  <si>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</si>
  <si>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PRODUK DOMESTIK REGIONAL BRUTO</t>
  </si>
  <si>
    <t>Sektor PDRB Lapangan Usaha Seri 2010</t>
  </si>
  <si>
    <t>[Seri 2010] PDRB Triwulanan seri 2010 Provinsi Jawa Tengah Menurut Lapangan Usaha (Juta Rupiah)</t>
  </si>
  <si>
    <t>D. Pengadaan Listrik, Gas</t>
  </si>
  <si>
    <t>E. Pengadaan Air</t>
  </si>
  <si>
    <t>G. Perdagangan Besar dan Eceran, dan Reparasi Mobil dan Sepeda Motor</t>
  </si>
  <si>
    <t>K. Jasa Keuangan</t>
  </si>
  <si>
    <t>M,N. Jasa Perusahaan</t>
  </si>
  <si>
    <t>R,S,T,U. Jasa lainnya</t>
  </si>
  <si>
    <t>Produk Domestik Regional Bruto</t>
  </si>
  <si>
    <t>LQ PDRB Kota Magelang</t>
  </si>
  <si>
    <t>Rata-Rata LQ</t>
  </si>
  <si>
    <t>LAJU PERTUMBUHAN</t>
  </si>
  <si>
    <t>RATA-RATA</t>
  </si>
  <si>
    <t>KONTRIBUSI %</t>
  </si>
  <si>
    <t>Prov. Jawa Tengah</t>
  </si>
  <si>
    <t>Kota Magelang</t>
  </si>
  <si>
    <t>Keterangan</t>
  </si>
  <si>
    <t>Kuadran</t>
  </si>
  <si>
    <t>Keterangan:</t>
  </si>
  <si>
    <t>(Pertanian, Kehutanan, dan Perikanan), Pertambangan dan Penggalian, Industri Pengolahan, Pengadaan Air, Jasa Perusahaan, Jasa Kesehatan dan Kegiatan Sosial</t>
  </si>
  <si>
    <t>(Pengadaan Listrik, Gas), (Perdagangan Besar dan Eceran, dan Reparasi Mobil dan Sepeda Motor), Transportasi dan Pergudangan, Penyediaan Akomodasi dan Makan, Minum, Informasi dan Komunikasi, Jasa Keuangan, Real Estate, Jasa lainnya</t>
  </si>
  <si>
    <t>gi&lt;g</t>
  </si>
  <si>
    <t>si&gt;=s</t>
  </si>
  <si>
    <t>gi&gt;=g</t>
  </si>
  <si>
    <t>si&lt;s</t>
  </si>
  <si>
    <t>gi : pertumbuhan sektor daerah analisis</t>
  </si>
  <si>
    <t>si : kontribusi sektor daerah analisis</t>
  </si>
  <si>
    <t>s  : kontribusi sektor daerah acuan</t>
  </si>
  <si>
    <t>g : pertumbuhan sektor daerah acuan</t>
  </si>
  <si>
    <t>Kontribusi Sektoral</t>
  </si>
  <si>
    <t>Pertumbuhan Sektoral</t>
  </si>
  <si>
    <r>
      <rPr>
        <b/>
        <sz val="12"/>
        <color theme="1"/>
        <rFont val="Times New Roman"/>
        <family val="1"/>
      </rPr>
      <t xml:space="preserve"> KUADRAN IV </t>
    </r>
    <r>
      <rPr>
        <sz val="12"/>
        <color theme="1"/>
        <rFont val="Times New Roman"/>
        <family val="1"/>
      </rPr>
      <t xml:space="preserve">             Sektor relatif tertinggal (relative backward sector)</t>
    </r>
  </si>
  <si>
    <r>
      <rPr>
        <b/>
        <sz val="12"/>
        <color theme="1"/>
        <rFont val="Times New Roman"/>
        <family val="1"/>
      </rPr>
      <t>KUADRAN III</t>
    </r>
    <r>
      <rPr>
        <sz val="12"/>
        <color theme="1"/>
        <rFont val="Times New Roman"/>
        <family val="1"/>
      </rPr>
      <t xml:space="preserve">          Sektor potensial atau masih dapat berkembang dengan pesat</t>
    </r>
  </si>
  <si>
    <t>-</t>
  </si>
  <si>
    <t>2021</t>
  </si>
  <si>
    <t>Rata-Rata</t>
  </si>
  <si>
    <t>Distribusi PDRB (Persen)</t>
  </si>
  <si>
    <t>Rata-rata Pertumbuhan</t>
  </si>
  <si>
    <t>Distribusi Kontribusi</t>
  </si>
  <si>
    <t>Rata-rata Kontribusi</t>
  </si>
  <si>
    <t>A</t>
  </si>
  <si>
    <t>Pertanian, Kehutanan, dan Perikanan</t>
  </si>
  <si>
    <t>B</t>
  </si>
  <si>
    <t>Pertambangan dan Penggalian</t>
  </si>
  <si>
    <t>C</t>
  </si>
  <si>
    <t>Industri Pengolahan</t>
  </si>
  <si>
    <t>D</t>
  </si>
  <si>
    <t>Pengadaan Listrik dan Gas</t>
  </si>
  <si>
    <t>E</t>
  </si>
  <si>
    <t>Pengadaan Air, Pengelolaan Sampah, Limbah dan Daur Ulang</t>
  </si>
  <si>
    <t>F</t>
  </si>
  <si>
    <t>Konstruksi</t>
  </si>
  <si>
    <t>G</t>
  </si>
  <si>
    <t>Perdagangan Besar dan Eceran; Reparasi Mobil dan Sepeda Motor</t>
  </si>
  <si>
    <t>H</t>
  </si>
  <si>
    <t>Transportasi dan Pergudangan</t>
  </si>
  <si>
    <t>I</t>
  </si>
  <si>
    <t>Penyediaan Akomodasi dan Makan Minum</t>
  </si>
  <si>
    <t>J</t>
  </si>
  <si>
    <t>Informasi dan Komunikasi</t>
  </si>
  <si>
    <t>K</t>
  </si>
  <si>
    <t>Jasa Keuangan dan Asuransi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</si>
  <si>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</si>
  <si>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</si>
  <si>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</si>
  <si>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</si>
  <si>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</si>
  <si>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</si>
  <si>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</si>
  <si>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</si>
  <si>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</si>
  <si>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</si>
  <si>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R,S,T,U</t>
  </si>
  <si>
    <t>Jasa Lainnya</t>
  </si>
  <si>
    <t>TOTAL</t>
  </si>
  <si>
    <t>Laju Pertumbuhan JAWA TENGAH</t>
  </si>
  <si>
    <t>Pertumbuhan PDRB (Persen) KOTA MAGELANG</t>
  </si>
  <si>
    <t>Rata-Rata Kontribusi (%) (s)</t>
  </si>
  <si>
    <t>Rata-Rata Pertumbuhan (%) (g)</t>
  </si>
  <si>
    <t>Rata-Rata Pertumbuhan (%) (gi)</t>
  </si>
  <si>
    <t>Rata-Rata Kontribusi (%) (si)</t>
  </si>
  <si>
    <r>
      <rPr>
        <b/>
        <sz val="12"/>
        <color theme="1"/>
        <rFont val="Times New Roman"/>
        <family val="1"/>
      </rPr>
      <t>KUADRAN I</t>
    </r>
    <r>
      <rPr>
        <sz val="12"/>
        <color theme="1"/>
        <rFont val="Times New Roman"/>
        <family val="1"/>
      </rPr>
      <t xml:space="preserve">         Sektor maju dan tumbuh pesat (rapid growth sector)</t>
    </r>
  </si>
  <si>
    <r>
      <rPr>
        <b/>
        <sz val="12"/>
        <color theme="1"/>
        <rFont val="Times New Roman"/>
        <family val="1"/>
      </rPr>
      <t xml:space="preserve">KUADRAN II  </t>
    </r>
    <r>
      <rPr>
        <sz val="12"/>
        <color theme="1"/>
        <rFont val="Times New Roman"/>
        <family val="1"/>
      </rPr>
      <t xml:space="preserve">               Sektor maju tetapi tertekan (retearted sector)</t>
    </r>
  </si>
  <si>
    <t>Nilai Investasi (Rasio)</t>
  </si>
  <si>
    <t>Output</t>
  </si>
  <si>
    <t>Investasi</t>
  </si>
  <si>
    <t>Pembentukan Modal Tetap Bruto (Juta Rupiah)</t>
  </si>
  <si>
    <t>Sektor Potensial Kota Magelang</t>
  </si>
  <si>
    <t>Koefisien ICOR 2017</t>
  </si>
  <si>
    <t>Koefisien ICOR 2018</t>
  </si>
  <si>
    <t>Koefisien ICOR 2019</t>
  </si>
  <si>
    <t>Koefisien ICOR 2020</t>
  </si>
  <si>
    <t>Koefisien ICOR 2021</t>
  </si>
  <si>
    <t>LQ&lt;1 Sektor Non Potensial</t>
  </si>
  <si>
    <t>LQ&gt; Sektor Potensial</t>
  </si>
  <si>
    <t>jenis sektor potensialnya tolong nanti di sesuaikan seperti pada sheet LQ yang udah di highlight kuning. Dipahami dulu sperti pada contoh</t>
  </si>
  <si>
    <t>Rata-rata Nilai ICOR</t>
  </si>
  <si>
    <t>PDRB 2021</t>
  </si>
  <si>
    <t>Kebutuhan Investasi 2021 (6.00%)</t>
  </si>
  <si>
    <t>PDRB 2020 (6.00%)</t>
  </si>
  <si>
    <t>PDRB 2016</t>
  </si>
  <si>
    <t>Pertumbuhan (5.6%)</t>
  </si>
  <si>
    <t>PDRB 2020</t>
  </si>
  <si>
    <t>PDRB 2019 (6.00%)</t>
  </si>
  <si>
    <t>PDRB 2019</t>
  </si>
  <si>
    <t>PDRB 2018 (6.00%)</t>
  </si>
  <si>
    <t>PDRB 2018</t>
  </si>
  <si>
    <t>PDRB 2017 (6.00%)</t>
  </si>
  <si>
    <t>PDRB 2017</t>
  </si>
  <si>
    <t>PDRB 2016 (6.00%)</t>
  </si>
  <si>
    <t>Kebutuhan Investasi 2017 (6.00%)</t>
  </si>
  <si>
    <t>Kebutuhan Investasi 2020 (6.00%)</t>
  </si>
  <si>
    <t>Kebutuhan Investasi 2018 (6.00%)</t>
  </si>
  <si>
    <t>Kebutuhan Investasi 2019 (6.00%)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</si>
</sst>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5" applyNumberFormat="0" applyFill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5" fillId="0" borderId="0" applyNumberFormat="0" applyFill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8" applyNumberFormat="0" applyAlignment="0" applyProtection="0"/>
    <xf numFmtId="0" fontId="10" fillId="10" borderId="9" applyNumberFormat="0" applyAlignment="0" applyProtection="0"/>
    <xf numFmtId="0" fontId="11" fillId="10" borderId="8" applyNumberFormat="0" applyAlignment="0" applyProtection="0"/>
    <xf numFmtId="0" fontId="12" fillId="0" borderId="10" applyNumberFormat="0" applyFill="0" applyAlignment="0" applyProtection="0"/>
    <xf numFmtId="0" fontId="13" fillId="11" borderId="11" applyNumberFormat="0" applyAlignment="0" applyProtection="0"/>
    <xf numFmtId="0" fontId="14" fillId="0" borderId="0" applyNumberFormat="0" applyFill="0" applyBorder="0" applyAlignment="0" applyProtection="0"/>
    <xf numFmtId="0" fontId="1" fillId="12" borderId="12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20" fillId="0" borderId="0" xfId="0" applyFont="1"/>
    <xf numFmtId="0" fontId="20" fillId="2" borderId="1" xfId="0" applyFont="1" applyFill="1" applyBorder="1" applyAlignment="1">
      <alignment horizontal="center" vertical="center"/>
    </xf>
    <xf numFmtId="0" fontId="21" fillId="37" borderId="18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/>
    </xf>
    <xf numFmtId="0" fontId="20" fillId="0" borderId="1" xfId="0" applyFont="1" applyBorder="1" applyAlignment="1">
      <alignment wrapText="1"/>
    </xf>
    <xf numFmtId="0" fontId="20" fillId="0" borderId="1" xfId="0" applyFont="1" applyBorder="1"/>
    <xf numFmtId="0" fontId="20" fillId="5" borderId="1" xfId="0" applyFont="1" applyFill="1" applyBorder="1" applyAlignment="1">
      <alignment horizontal="right" vertical="center" wrapText="1"/>
    </xf>
    <xf numFmtId="2" fontId="20" fillId="0" borderId="3" xfId="0" applyNumberFormat="1" applyFont="1" applyBorder="1"/>
    <xf numFmtId="2" fontId="20" fillId="39" borderId="1" xfId="0" applyNumberFormat="1" applyFont="1" applyFill="1" applyBorder="1"/>
    <xf numFmtId="10" fontId="20" fillId="0" borderId="1" xfId="1" applyNumberFormat="1" applyFont="1" applyBorder="1"/>
    <xf numFmtId="10" fontId="20" fillId="40" borderId="1" xfId="1" applyNumberFormat="1" applyFont="1" applyFill="1" applyBorder="1"/>
    <xf numFmtId="0" fontId="20" fillId="38" borderId="1" xfId="0" applyFont="1" applyFill="1" applyBorder="1" applyAlignment="1">
      <alignment horizontal="right" vertical="center" wrapText="1"/>
    </xf>
    <xf numFmtId="2" fontId="20" fillId="0" borderId="1" xfId="0" applyNumberFormat="1" applyFont="1" applyBorder="1"/>
    <xf numFmtId="2" fontId="20" fillId="0" borderId="2" xfId="0" applyNumberFormat="1" applyFont="1" applyBorder="1"/>
    <xf numFmtId="2" fontId="20" fillId="39" borderId="2" xfId="0" applyNumberFormat="1" applyFont="1" applyFill="1" applyBorder="1"/>
    <xf numFmtId="0" fontId="20" fillId="2" borderId="2" xfId="0" applyFont="1" applyFill="1" applyBorder="1" applyAlignment="1">
      <alignment wrapText="1"/>
    </xf>
    <xf numFmtId="0" fontId="20" fillId="2" borderId="2" xfId="0" applyFont="1" applyFill="1" applyBorder="1"/>
    <xf numFmtId="0" fontId="20" fillId="37" borderId="1" xfId="0" applyFont="1" applyFill="1" applyBorder="1" applyAlignment="1">
      <alignment horizontal="right" vertical="center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right" vertical="center" wrapText="1"/>
    </xf>
    <xf numFmtId="0" fontId="20" fillId="0" borderId="1" xfId="0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wrapText="1"/>
    </xf>
    <xf numFmtId="2" fontId="20" fillId="4" borderId="1" xfId="0" applyNumberFormat="1" applyFont="1" applyFill="1" applyBorder="1"/>
    <xf numFmtId="2" fontId="20" fillId="5" borderId="1" xfId="0" applyNumberFormat="1" applyFont="1" applyFill="1" applyBorder="1"/>
    <xf numFmtId="0" fontId="20" fillId="2" borderId="2" xfId="0" applyFont="1" applyFill="1" applyBorder="1" applyAlignment="1">
      <alignment vertical="center"/>
    </xf>
    <xf numFmtId="0" fontId="20" fillId="2" borderId="16" xfId="0" applyFont="1" applyFill="1" applyBorder="1" applyAlignment="1">
      <alignment vertical="center"/>
    </xf>
    <xf numFmtId="2" fontId="20" fillId="41" borderId="1" xfId="0" applyNumberFormat="1" applyFont="1" applyFill="1" applyBorder="1"/>
    <xf numFmtId="10" fontId="20" fillId="0" borderId="1" xfId="1" applyNumberFormat="1" applyFont="1" applyFill="1" applyBorder="1"/>
    <xf numFmtId="0" fontId="22" fillId="5" borderId="1" xfId="0" applyFont="1" applyFill="1" applyBorder="1" applyAlignment="1">
      <alignment horizontal="right" vertical="center" wrapText="1"/>
    </xf>
    <xf numFmtId="0" fontId="20" fillId="2" borderId="1" xfId="0" applyFont="1" applyFill="1" applyBorder="1" applyAlignment="1">
      <alignment wrapText="1"/>
    </xf>
    <xf numFmtId="0" fontId="20" fillId="2" borderId="1" xfId="0" applyFont="1" applyFill="1" applyBorder="1"/>
    <xf numFmtId="0" fontId="20" fillId="2" borderId="0" xfId="0" applyFont="1" applyFill="1"/>
    <xf numFmtId="0" fontId="22" fillId="2" borderId="1" xfId="0" applyFont="1" applyFill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6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1" fontId="0" fillId="43" borderId="1" xfId="0" applyNumberFormat="1" applyFill="1" applyBorder="1" applyAlignment="1">
      <alignment horizontal="center" vertical="center"/>
    </xf>
    <xf numFmtId="164" fontId="0" fillId="43" borderId="1" xfId="0" applyNumberFormat="1" applyFill="1" applyBorder="1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/>
    <xf numFmtId="0" fontId="0" fillId="2" borderId="1" xfId="0" applyFill="1" applyBorder="1"/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164" fontId="0" fillId="3" borderId="1" xfId="0" applyNumberFormat="1" applyFill="1" applyBorder="1"/>
    <xf numFmtId="164" fontId="0" fillId="5" borderId="1" xfId="1" applyNumberFormat="1" applyFont="1" applyFill="1" applyBorder="1" applyAlignment="1">
      <alignment horizontal="right" wrapText="1"/>
    </xf>
    <xf numFmtId="1" fontId="0" fillId="5" borderId="1" xfId="1" applyNumberFormat="1" applyFont="1" applyFill="1" applyBorder="1" applyAlignment="1">
      <alignment horizontal="right" wrapText="1"/>
    </xf>
    <xf numFmtId="1" fontId="0" fillId="5" borderId="1" xfId="1" applyNumberFormat="1" applyFont="1" applyFill="1" applyBorder="1" applyAlignment="1">
      <alignment horizontal="right"/>
    </xf>
    <xf numFmtId="43" fontId="0" fillId="0" borderId="0" xfId="44" applyFont="1"/>
    <xf numFmtId="43" fontId="0" fillId="0" borderId="0" xfId="0" applyNumberFormat="1"/>
    <xf numFmtId="2" fontId="0" fillId="5" borderId="1" xfId="1" applyNumberFormat="1" applyFont="1" applyFill="1" applyBorder="1" applyAlignment="1">
      <alignment horizontal="right"/>
    </xf>
    <xf numFmtId="0" fontId="20" fillId="5" borderId="1" xfId="0" applyFont="1" applyFill="1" applyBorder="1" applyAlignment="1">
      <alignment wrapText="1"/>
    </xf>
    <xf numFmtId="0" fontId="20" fillId="44" borderId="0" xfId="0" applyFont="1" applyFill="1"/>
    <xf numFmtId="0" fontId="16" fillId="45" borderId="32" xfId="0" applyFont="1" applyFill="1" applyBorder="1" applyAlignment="1">
      <alignment horizontal="center" vertical="center"/>
    </xf>
    <xf numFmtId="0" fontId="16" fillId="45" borderId="32" xfId="0" applyFont="1" applyFill="1" applyBorder="1" applyAlignment="1">
      <alignment horizontal="center" vertical="center" wrapText="1"/>
    </xf>
    <xf numFmtId="2" fontId="0" fillId="0" borderId="32" xfId="0" applyNumberFormat="1" applyBorder="1"/>
    <xf numFmtId="0" fontId="26" fillId="45" borderId="32" xfId="0" applyFont="1" applyFill="1" applyBorder="1" applyAlignment="1">
      <alignment horizontal="center" vertical="center" wrapText="1"/>
    </xf>
    <xf numFmtId="2" fontId="0" fillId="0" borderId="33" xfId="0" applyNumberFormat="1" applyBorder="1"/>
    <xf numFmtId="164" fontId="0" fillId="0" borderId="1" xfId="0" applyNumberFormat="1" applyBorder="1"/>
    <xf numFmtId="164" fontId="0" fillId="4" borderId="0" xfId="0" applyNumberFormat="1" applyFill="1"/>
    <xf numFmtId="0" fontId="20" fillId="4" borderId="1" xfId="0" applyFont="1" applyFill="1" applyBorder="1"/>
    <xf numFmtId="0" fontId="26" fillId="45" borderId="0" xfId="0" applyFont="1" applyFill="1" applyAlignment="1">
      <alignment vertical="center" wrapText="1"/>
    </xf>
    <xf numFmtId="164" fontId="0" fillId="5" borderId="1" xfId="1" applyNumberFormat="1" applyFont="1" applyFill="1" applyBorder="1" applyAlignment="1">
      <alignment horizontal="right"/>
    </xf>
    <xf numFmtId="0" fontId="18" fillId="0" borderId="1" xfId="0" applyFont="1" applyBorder="1"/>
    <xf numFmtId="0" fontId="20" fillId="40" borderId="1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39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 wrapText="1"/>
    </xf>
    <xf numFmtId="0" fontId="20" fillId="40" borderId="16" xfId="0" applyFont="1" applyFill="1" applyBorder="1" applyAlignment="1">
      <alignment horizontal="center" vertical="center"/>
    </xf>
    <xf numFmtId="0" fontId="20" fillId="40" borderId="0" xfId="0" applyFont="1" applyFill="1" applyAlignment="1">
      <alignment horizontal="center" vertical="center"/>
    </xf>
    <xf numFmtId="0" fontId="20" fillId="40" borderId="14" xfId="0" applyFont="1" applyFill="1" applyBorder="1" applyAlignment="1">
      <alignment horizontal="center" vertical="center"/>
    </xf>
    <xf numFmtId="0" fontId="20" fillId="40" borderId="15" xfId="0" applyFont="1" applyFill="1" applyBorder="1" applyAlignment="1">
      <alignment horizontal="center" vertical="center"/>
    </xf>
    <xf numFmtId="0" fontId="20" fillId="41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9" fillId="42" borderId="23" xfId="43" applyFont="1" applyFill="1" applyBorder="1"/>
    <xf numFmtId="0" fontId="19" fillId="42" borderId="0" xfId="43" applyFont="1" applyFill="1"/>
    <xf numFmtId="0" fontId="19" fillId="42" borderId="24" xfId="43" applyFont="1" applyFill="1" applyBorder="1"/>
    <xf numFmtId="0" fontId="19" fillId="42" borderId="25" xfId="43" applyFont="1" applyFill="1" applyBorder="1"/>
    <xf numFmtId="0" fontId="19" fillId="42" borderId="26" xfId="43" applyFont="1" applyFill="1" applyBorder="1"/>
    <xf numFmtId="0" fontId="19" fillId="42" borderId="27" xfId="43" applyFont="1" applyFill="1" applyBorder="1"/>
    <xf numFmtId="0" fontId="19" fillId="42" borderId="20" xfId="43" applyFont="1" applyFill="1" applyBorder="1" applyAlignment="1">
      <alignment horizontal="left"/>
    </xf>
    <xf numFmtId="0" fontId="19" fillId="42" borderId="21" xfId="43" applyFont="1" applyFill="1" applyBorder="1" applyAlignment="1">
      <alignment horizontal="left"/>
    </xf>
    <xf numFmtId="0" fontId="19" fillId="42" borderId="22" xfId="43" applyFont="1" applyFill="1" applyBorder="1" applyAlignment="1">
      <alignment horizontal="left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6" fillId="0" borderId="18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3" borderId="16" xfId="0" applyFill="1" applyBorder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3" borderId="19" xfId="0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0" fillId="44" borderId="0" xfId="0" applyFill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46" borderId="34" xfId="0" applyFont="1" applyFill="1" applyBorder="1" applyAlignment="1">
      <alignment horizontal="center" vertical="center" wrapText="1"/>
    </xf>
    <xf numFmtId="0" fontId="16" fillId="46" borderId="0" xfId="0" applyFont="1" applyFill="1" applyAlignment="1">
      <alignment horizontal="center" vertic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62E7FADE-B923-4E9C-932B-33F3C5E5FCC8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D9B3-B067-435A-A49C-59263DFE96A8}">
  <dimension ref="A1:T100"/>
  <sheetViews>
    <sheetView zoomScale="55" zoomScaleNormal="55" workbookViewId="0">
      <selection activeCell="H10" sqref="H10"/>
    </sheetView>
  </sheetViews>
  <sheetFormatPr defaultColWidth="8.7265625" defaultRowHeight="15.5" x14ac:dyDescent="0.35"/>
  <cols>
    <col min="1" max="1" width="58.54296875" style="1" customWidth="1"/>
    <col min="2" max="2" width="14.54296875" style="1" customWidth="1"/>
    <col min="3" max="3" width="14.1796875" style="1" bestFit="1" customWidth="1"/>
    <col min="4" max="4" width="13.26953125" style="1" customWidth="1"/>
    <col min="5" max="5" width="14.1796875" style="1" bestFit="1" customWidth="1"/>
    <col min="6" max="6" width="12.7265625" style="1" customWidth="1"/>
    <col min="7" max="7" width="10.453125" style="1" hidden="1" customWidth="1"/>
    <col min="8" max="8" width="11.453125" style="1" customWidth="1"/>
    <col min="9" max="9" width="13.453125" style="1" customWidth="1"/>
    <col min="10" max="10" width="7.1796875" style="1" customWidth="1"/>
    <col min="11" max="11" width="8.54296875" style="1" customWidth="1"/>
    <col min="12" max="12" width="7.54296875" style="1" customWidth="1"/>
    <col min="13" max="13" width="7.36328125" style="1" customWidth="1"/>
    <col min="14" max="14" width="9.1796875" style="1" customWidth="1"/>
    <col min="15" max="19" width="9.1796875" style="1" bestFit="1" customWidth="1"/>
    <col min="20" max="20" width="11.1796875" style="1" customWidth="1"/>
    <col min="21" max="16384" width="8.7265625" style="1"/>
  </cols>
  <sheetData>
    <row r="1" spans="1:20" x14ac:dyDescent="0.35">
      <c r="A1" s="93" t="s">
        <v>0</v>
      </c>
      <c r="B1" s="79" t="s">
        <v>1</v>
      </c>
      <c r="C1" s="80"/>
      <c r="D1" s="80"/>
      <c r="E1" s="80"/>
      <c r="F1" s="80"/>
      <c r="G1" s="80"/>
      <c r="H1" s="81"/>
      <c r="I1" s="90" t="s">
        <v>32</v>
      </c>
      <c r="J1" s="90"/>
      <c r="K1" s="90"/>
      <c r="L1" s="90"/>
      <c r="M1" s="90"/>
      <c r="N1" s="94" t="s">
        <v>33</v>
      </c>
      <c r="O1" s="95" t="s">
        <v>34</v>
      </c>
      <c r="P1" s="96"/>
      <c r="Q1" s="96"/>
      <c r="R1" s="96"/>
      <c r="S1" s="96"/>
      <c r="T1" s="78" t="s">
        <v>33</v>
      </c>
    </row>
    <row r="2" spans="1:20" x14ac:dyDescent="0.35">
      <c r="A2" s="93"/>
      <c r="B2" s="82" t="s">
        <v>2</v>
      </c>
      <c r="C2" s="83"/>
      <c r="D2" s="83"/>
      <c r="E2" s="83"/>
      <c r="F2" s="83"/>
      <c r="G2" s="83"/>
      <c r="H2" s="84"/>
      <c r="I2" s="90"/>
      <c r="J2" s="90"/>
      <c r="K2" s="90"/>
      <c r="L2" s="90"/>
      <c r="M2" s="90"/>
      <c r="N2" s="94"/>
      <c r="O2" s="97"/>
      <c r="P2" s="98"/>
      <c r="Q2" s="98"/>
      <c r="R2" s="98"/>
      <c r="S2" s="98"/>
      <c r="T2" s="78"/>
    </row>
    <row r="3" spans="1:20" x14ac:dyDescent="0.35">
      <c r="A3" s="93"/>
      <c r="B3" s="2">
        <v>2021</v>
      </c>
      <c r="C3" s="2">
        <v>2020</v>
      </c>
      <c r="D3" s="2">
        <v>2019</v>
      </c>
      <c r="E3" s="2">
        <v>2018</v>
      </c>
      <c r="F3" s="2">
        <v>2017</v>
      </c>
      <c r="G3" s="2">
        <v>2016</v>
      </c>
      <c r="H3" s="3">
        <v>2016</v>
      </c>
      <c r="I3" s="2">
        <v>2021</v>
      </c>
      <c r="J3" s="2">
        <v>2020</v>
      </c>
      <c r="K3" s="2">
        <v>2019</v>
      </c>
      <c r="L3" s="2">
        <v>2018</v>
      </c>
      <c r="M3" s="2">
        <v>2017</v>
      </c>
      <c r="N3" s="94"/>
      <c r="O3" s="2">
        <v>2021</v>
      </c>
      <c r="P3" s="2">
        <v>2020</v>
      </c>
      <c r="Q3" s="2">
        <v>2019</v>
      </c>
      <c r="R3" s="2">
        <v>2018</v>
      </c>
      <c r="S3" s="4">
        <v>2017</v>
      </c>
      <c r="T3" s="78"/>
    </row>
    <row r="4" spans="1:20" ht="14.5" customHeight="1" x14ac:dyDescent="0.35">
      <c r="A4" s="5" t="s">
        <v>3</v>
      </c>
      <c r="B4" s="6">
        <v>116787.02</v>
      </c>
      <c r="C4" s="6">
        <v>116340.03</v>
      </c>
      <c r="D4" s="6">
        <v>115481.55</v>
      </c>
      <c r="E4" s="6">
        <v>109809.02</v>
      </c>
      <c r="F4" s="6">
        <v>108869.6</v>
      </c>
      <c r="G4" s="6">
        <v>106735.73</v>
      </c>
      <c r="H4" s="7">
        <v>106735.73</v>
      </c>
      <c r="I4" s="8">
        <f>M15</f>
        <v>4.5018846443552474E-2</v>
      </c>
      <c r="J4" s="8">
        <f t="shared" ref="I4:L19" si="0">(C4-E4)/C4</f>
        <v>5.6137255594656411E-2</v>
      </c>
      <c r="K4" s="8">
        <f t="shared" si="0"/>
        <v>5.7255466349386518E-2</v>
      </c>
      <c r="L4" s="8">
        <f t="shared" si="0"/>
        <v>2.7987591547579679E-2</v>
      </c>
      <c r="M4" s="8">
        <f>(F4-H4)/F4</f>
        <v>1.9600237348167071E-2</v>
      </c>
      <c r="N4" s="9">
        <f>AVERAGE(I4:M4)</f>
        <v>4.1199879456668434E-2</v>
      </c>
      <c r="O4" s="10">
        <f>B4/B$21</f>
        <v>1.7928908239578722E-2</v>
      </c>
      <c r="P4" s="10">
        <f t="shared" ref="P4:S19" si="1">C4/C$21</f>
        <v>1.843140480786825E-2</v>
      </c>
      <c r="Q4" s="10">
        <f t="shared" si="1"/>
        <v>1.7847283031272303E-2</v>
      </c>
      <c r="R4" s="10">
        <f t="shared" si="1"/>
        <v>1.7888217678794484E-2</v>
      </c>
      <c r="S4" s="10">
        <f t="shared" si="1"/>
        <v>1.8704407088561664E-2</v>
      </c>
      <c r="T4" s="11">
        <f>SUM(O4:S4)/5</f>
        <v>1.8160044169215083E-2</v>
      </c>
    </row>
    <row r="5" spans="1:20" ht="19.5" customHeight="1" x14ac:dyDescent="0.35">
      <c r="A5" s="5" t="s">
        <v>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12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9">
        <f t="shared" ref="N5:N20" si="2">AVERAGE(I5:M5)</f>
        <v>0</v>
      </c>
      <c r="O5" s="10">
        <f t="shared" ref="O5:O21" si="3">B5/B$21</f>
        <v>0</v>
      </c>
      <c r="P5" s="10">
        <f t="shared" si="1"/>
        <v>0</v>
      </c>
      <c r="Q5" s="10">
        <f t="shared" si="1"/>
        <v>0</v>
      </c>
      <c r="R5" s="10">
        <f t="shared" si="1"/>
        <v>0</v>
      </c>
      <c r="S5" s="10">
        <f t="shared" si="1"/>
        <v>0</v>
      </c>
      <c r="T5" s="11">
        <f t="shared" ref="T5:T21" si="4">SUM(O5:S5)/5</f>
        <v>0</v>
      </c>
    </row>
    <row r="6" spans="1:20" x14ac:dyDescent="0.35">
      <c r="A6" s="5" t="s">
        <v>5</v>
      </c>
      <c r="B6" s="6">
        <v>976664.1</v>
      </c>
      <c r="C6" s="6">
        <v>932910.91</v>
      </c>
      <c r="D6" s="6">
        <v>934870.61</v>
      </c>
      <c r="E6" s="6">
        <v>894350.14</v>
      </c>
      <c r="F6" s="6">
        <v>864272.22</v>
      </c>
      <c r="G6" s="6">
        <v>828143.74</v>
      </c>
      <c r="H6" s="7">
        <v>828143.74</v>
      </c>
      <c r="I6" s="13">
        <f t="shared" si="0"/>
        <v>4.2792081740283067E-2</v>
      </c>
      <c r="J6" s="13">
        <f t="shared" si="0"/>
        <v>4.1333818252806173E-2</v>
      </c>
      <c r="K6" s="13">
        <f t="shared" si="0"/>
        <v>7.5516749852688192E-2</v>
      </c>
      <c r="L6" s="13">
        <f t="shared" si="0"/>
        <v>7.4027382608784539E-2</v>
      </c>
      <c r="M6" s="13">
        <f t="shared" ref="M6:M20" si="5">(F6-H6)/F6</f>
        <v>4.1802199774510843E-2</v>
      </c>
      <c r="N6" s="9">
        <f t="shared" si="2"/>
        <v>5.5094446445814557E-2</v>
      </c>
      <c r="O6" s="10">
        <f t="shared" si="3"/>
        <v>0.14993550678654818</v>
      </c>
      <c r="P6" s="10">
        <f t="shared" si="1"/>
        <v>0.14779829979317305</v>
      </c>
      <c r="Q6" s="10">
        <f t="shared" si="1"/>
        <v>0.14448109134565815</v>
      </c>
      <c r="R6" s="10">
        <f t="shared" si="1"/>
        <v>0.14569231184633394</v>
      </c>
      <c r="S6" s="10">
        <f t="shared" si="1"/>
        <v>0.1484868084223229</v>
      </c>
      <c r="T6" s="11">
        <f t="shared" si="4"/>
        <v>0.14727880363880724</v>
      </c>
    </row>
    <row r="7" spans="1:20" x14ac:dyDescent="0.35">
      <c r="A7" s="5" t="s">
        <v>6</v>
      </c>
      <c r="B7" s="6">
        <v>24999.35</v>
      </c>
      <c r="C7" s="6">
        <v>22782.58</v>
      </c>
      <c r="D7" s="6">
        <v>22379.919999999998</v>
      </c>
      <c r="E7" s="6">
        <v>21149.94</v>
      </c>
      <c r="F7" s="6">
        <v>19887.099999999999</v>
      </c>
      <c r="G7" s="6">
        <v>19086.34</v>
      </c>
      <c r="H7" s="12">
        <v>19086.34</v>
      </c>
      <c r="I7" s="13">
        <f t="shared" si="0"/>
        <v>0.10477992427803125</v>
      </c>
      <c r="J7" s="13">
        <f t="shared" si="0"/>
        <v>7.1661769650320686E-2</v>
      </c>
      <c r="K7" s="13">
        <f t="shared" si="0"/>
        <v>0.11138645714551258</v>
      </c>
      <c r="L7" s="13">
        <f t="shared" si="0"/>
        <v>9.757001674709237E-2</v>
      </c>
      <c r="M7" s="13">
        <f t="shared" si="5"/>
        <v>4.0265297604980037E-2</v>
      </c>
      <c r="N7" s="9">
        <f t="shared" si="2"/>
        <v>8.513269308518738E-2</v>
      </c>
      <c r="O7" s="10">
        <f t="shared" si="3"/>
        <v>3.8378498929000182E-3</v>
      </c>
      <c r="P7" s="10">
        <f t="shared" si="1"/>
        <v>3.6093763646755385E-3</v>
      </c>
      <c r="Q7" s="10">
        <f t="shared" si="1"/>
        <v>3.4587409543535884E-3</v>
      </c>
      <c r="R7" s="10">
        <f t="shared" si="1"/>
        <v>3.4453884627459797E-3</v>
      </c>
      <c r="S7" s="10">
        <f t="shared" si="1"/>
        <v>3.4167151731147598E-3</v>
      </c>
      <c r="T7" s="11">
        <f t="shared" si="4"/>
        <v>3.5536141695579767E-3</v>
      </c>
    </row>
    <row r="8" spans="1:20" x14ac:dyDescent="0.35">
      <c r="A8" s="5" t="s">
        <v>7</v>
      </c>
      <c r="B8" s="6">
        <v>8891.0300000000007</v>
      </c>
      <c r="C8" s="6">
        <v>8872.9699999999993</v>
      </c>
      <c r="D8" s="6">
        <v>8914.8700000000008</v>
      </c>
      <c r="E8" s="6">
        <v>8569.2999999999993</v>
      </c>
      <c r="F8" s="6">
        <v>8228.4</v>
      </c>
      <c r="G8" s="6">
        <v>7868.22</v>
      </c>
      <c r="H8" s="7">
        <v>7868.22</v>
      </c>
      <c r="I8" s="13">
        <f t="shared" si="0"/>
        <v>-2.6813541288242355E-3</v>
      </c>
      <c r="J8" s="13">
        <f t="shared" si="0"/>
        <v>3.4224166203649972E-2</v>
      </c>
      <c r="K8" s="13">
        <f t="shared" si="0"/>
        <v>7.700280542509326E-2</v>
      </c>
      <c r="L8" s="13">
        <f t="shared" si="0"/>
        <v>8.181298355758336E-2</v>
      </c>
      <c r="M8" s="13">
        <f t="shared" si="5"/>
        <v>4.3772786933061032E-2</v>
      </c>
      <c r="N8" s="9">
        <f t="shared" si="2"/>
        <v>4.6826277598112677E-2</v>
      </c>
      <c r="O8" s="10">
        <f t="shared" si="3"/>
        <v>1.3649330295896036E-3</v>
      </c>
      <c r="P8" s="10">
        <f t="shared" si="1"/>
        <v>1.4057182374636722E-3</v>
      </c>
      <c r="Q8" s="10">
        <f t="shared" si="1"/>
        <v>1.3777630112948652E-3</v>
      </c>
      <c r="R8" s="10">
        <f t="shared" si="1"/>
        <v>1.3959645915690127E-3</v>
      </c>
      <c r="S8" s="10">
        <f t="shared" si="1"/>
        <v>1.4136852095306752E-3</v>
      </c>
      <c r="T8" s="11">
        <f t="shared" si="4"/>
        <v>1.3916128158895659E-3</v>
      </c>
    </row>
    <row r="9" spans="1:20" x14ac:dyDescent="0.35">
      <c r="A9" s="5" t="s">
        <v>8</v>
      </c>
      <c r="B9" s="6">
        <v>1054427.43</v>
      </c>
      <c r="C9" s="6">
        <v>1021386.06</v>
      </c>
      <c r="D9" s="6">
        <v>1041119.08</v>
      </c>
      <c r="E9" s="6">
        <v>1000726.27</v>
      </c>
      <c r="F9" s="6">
        <v>952201.56</v>
      </c>
      <c r="G9" s="6">
        <v>907490.87</v>
      </c>
      <c r="H9" s="12">
        <v>907490.87</v>
      </c>
      <c r="I9" s="13">
        <f t="shared" si="0"/>
        <v>1.262139965383865E-2</v>
      </c>
      <c r="J9" s="13">
        <f t="shared" si="0"/>
        <v>2.0227209680147813E-2</v>
      </c>
      <c r="K9" s="13">
        <f t="shared" si="0"/>
        <v>8.5405715549848438E-2</v>
      </c>
      <c r="L9" s="13">
        <f t="shared" si="0"/>
        <v>9.3167735069051419E-2</v>
      </c>
      <c r="M9" s="13">
        <f t="shared" si="5"/>
        <v>4.6955069050716593E-2</v>
      </c>
      <c r="N9" s="9">
        <f t="shared" si="2"/>
        <v>5.1675425800720584E-2</v>
      </c>
      <c r="O9" s="10">
        <f t="shared" si="3"/>
        <v>0.16187357668484748</v>
      </c>
      <c r="P9" s="10">
        <f t="shared" si="1"/>
        <v>0.16181515456866918</v>
      </c>
      <c r="Q9" s="10">
        <f t="shared" si="1"/>
        <v>0.16090143308621879</v>
      </c>
      <c r="R9" s="10">
        <f t="shared" si="1"/>
        <v>0.1630213014800429</v>
      </c>
      <c r="S9" s="10">
        <f t="shared" si="1"/>
        <v>0.1635935615507311</v>
      </c>
      <c r="T9" s="11">
        <f t="shared" si="4"/>
        <v>0.16224100547410189</v>
      </c>
    </row>
    <row r="10" spans="1:20" ht="31" x14ac:dyDescent="0.35">
      <c r="A10" s="5" t="s">
        <v>9</v>
      </c>
      <c r="B10" s="6">
        <v>1010890.66</v>
      </c>
      <c r="C10" s="6">
        <v>959216.92</v>
      </c>
      <c r="D10" s="6">
        <v>994030.89</v>
      </c>
      <c r="E10" s="6">
        <v>941850.09</v>
      </c>
      <c r="F10" s="6">
        <v>889686.2</v>
      </c>
      <c r="G10" s="6">
        <v>844737.97</v>
      </c>
      <c r="H10" s="7">
        <v>844737.97</v>
      </c>
      <c r="I10" s="13">
        <f t="shared" si="0"/>
        <v>1.6678134111952344E-2</v>
      </c>
      <c r="J10" s="13">
        <f t="shared" si="0"/>
        <v>1.8105216492636592E-2</v>
      </c>
      <c r="K10" s="13">
        <f t="shared" si="0"/>
        <v>0.10497127508783963</v>
      </c>
      <c r="L10" s="13">
        <f t="shared" si="0"/>
        <v>0.10310783109868366</v>
      </c>
      <c r="M10" s="13">
        <f t="shared" si="5"/>
        <v>5.0521442279311497E-2</v>
      </c>
      <c r="N10" s="9">
        <f t="shared" si="2"/>
        <v>5.8676779814084742E-2</v>
      </c>
      <c r="O10" s="10">
        <f t="shared" si="3"/>
        <v>0.15518989938596919</v>
      </c>
      <c r="P10" s="10">
        <f t="shared" si="1"/>
        <v>0.15196588268953151</v>
      </c>
      <c r="Q10" s="10">
        <f t="shared" si="1"/>
        <v>0.15362411255873779</v>
      </c>
      <c r="R10" s="10">
        <f t="shared" si="1"/>
        <v>0.15343019572264804</v>
      </c>
      <c r="S10" s="10">
        <f t="shared" si="1"/>
        <v>0.15285307253701208</v>
      </c>
      <c r="T10" s="11">
        <f t="shared" si="4"/>
        <v>0.15341263257877974</v>
      </c>
    </row>
    <row r="11" spans="1:20" x14ac:dyDescent="0.35">
      <c r="A11" s="5" t="s">
        <v>10</v>
      </c>
      <c r="B11" s="6">
        <v>381908.37</v>
      </c>
      <c r="C11" s="6">
        <v>371393.25</v>
      </c>
      <c r="D11" s="6">
        <v>511366.87</v>
      </c>
      <c r="E11" s="6">
        <v>472092.23</v>
      </c>
      <c r="F11" s="6">
        <v>443250.98</v>
      </c>
      <c r="G11" s="6">
        <v>418762</v>
      </c>
      <c r="H11" s="12">
        <v>418762</v>
      </c>
      <c r="I11" s="13">
        <f t="shared" si="0"/>
        <v>-0.33897790718752774</v>
      </c>
      <c r="J11" s="13">
        <f t="shared" si="0"/>
        <v>-0.27113842268269545</v>
      </c>
      <c r="K11" s="13">
        <f t="shared" si="0"/>
        <v>0.13320356479096898</v>
      </c>
      <c r="L11" s="13">
        <f t="shared" si="0"/>
        <v>0.11296570163842769</v>
      </c>
      <c r="M11" s="13">
        <f t="shared" si="5"/>
        <v>5.5248563691838837E-2</v>
      </c>
      <c r="N11" s="9">
        <f t="shared" si="2"/>
        <v>-6.1739699949797555E-2</v>
      </c>
      <c r="O11" s="10">
        <f t="shared" si="3"/>
        <v>5.862980425099535E-2</v>
      </c>
      <c r="P11" s="10">
        <f t="shared" si="1"/>
        <v>5.8838727595822482E-2</v>
      </c>
      <c r="Q11" s="10">
        <f t="shared" si="1"/>
        <v>7.9030020481244231E-2</v>
      </c>
      <c r="R11" s="10">
        <f t="shared" si="1"/>
        <v>7.6905235787620277E-2</v>
      </c>
      <c r="S11" s="10">
        <f t="shared" si="1"/>
        <v>7.6153001134604187E-2</v>
      </c>
      <c r="T11" s="11">
        <f t="shared" si="4"/>
        <v>6.991135785005731E-2</v>
      </c>
    </row>
    <row r="12" spans="1:20" x14ac:dyDescent="0.35">
      <c r="A12" s="5" t="s">
        <v>11</v>
      </c>
      <c r="B12" s="6">
        <v>371237.65</v>
      </c>
      <c r="C12" s="6">
        <v>354869.82</v>
      </c>
      <c r="D12" s="6">
        <v>392225.82</v>
      </c>
      <c r="E12" s="6">
        <v>360973.97</v>
      </c>
      <c r="F12" s="6">
        <v>337687.35</v>
      </c>
      <c r="G12" s="6">
        <v>318041.12</v>
      </c>
      <c r="H12" s="7">
        <v>318041.12</v>
      </c>
      <c r="I12" s="13">
        <f t="shared" si="0"/>
        <v>-5.6535671961073945E-2</v>
      </c>
      <c r="J12" s="13">
        <f t="shared" si="0"/>
        <v>-1.7201096447142124E-2</v>
      </c>
      <c r="K12" s="13">
        <f t="shared" si="0"/>
        <v>0.13904864804667891</v>
      </c>
      <c r="L12" s="13">
        <f t="shared" si="0"/>
        <v>0.11893613824841713</v>
      </c>
      <c r="M12" s="13">
        <f t="shared" si="5"/>
        <v>5.8178756177866844E-2</v>
      </c>
      <c r="N12" s="9">
        <f t="shared" si="2"/>
        <v>4.8485354812949369E-2</v>
      </c>
      <c r="O12" s="10">
        <f t="shared" si="3"/>
        <v>5.699165679479485E-2</v>
      </c>
      <c r="P12" s="10">
        <f t="shared" si="1"/>
        <v>5.6220969742876471E-2</v>
      </c>
      <c r="Q12" s="10">
        <f t="shared" si="1"/>
        <v>6.0617174100216574E-2</v>
      </c>
      <c r="R12" s="10">
        <f t="shared" si="1"/>
        <v>5.8803738998295663E-2</v>
      </c>
      <c r="S12" s="10">
        <f t="shared" si="1"/>
        <v>5.8016578209689418E-2</v>
      </c>
      <c r="T12" s="11">
        <f t="shared" si="4"/>
        <v>5.8130023569174592E-2</v>
      </c>
    </row>
    <row r="13" spans="1:20" x14ac:dyDescent="0.35">
      <c r="A13" s="5" t="s">
        <v>12</v>
      </c>
      <c r="B13" s="6">
        <v>549524.43999999994</v>
      </c>
      <c r="C13" s="6">
        <v>537630.69999999995</v>
      </c>
      <c r="D13" s="6">
        <v>458256.15</v>
      </c>
      <c r="E13" s="6">
        <v>427612.45</v>
      </c>
      <c r="F13" s="6">
        <v>386751.83</v>
      </c>
      <c r="G13" s="6">
        <v>347340.64</v>
      </c>
      <c r="H13" s="12">
        <v>347340.64</v>
      </c>
      <c r="I13" s="13">
        <f t="shared" si="0"/>
        <v>0.16608595242824856</v>
      </c>
      <c r="J13" s="13">
        <f t="shared" si="0"/>
        <v>0.20463535657468956</v>
      </c>
      <c r="K13" s="13">
        <f t="shared" si="0"/>
        <v>0.15603570186673982</v>
      </c>
      <c r="L13" s="13">
        <f t="shared" si="0"/>
        <v>0.18772093749842877</v>
      </c>
      <c r="M13" s="13">
        <f t="shared" si="5"/>
        <v>0.10190304723315724</v>
      </c>
      <c r="N13" s="9">
        <f t="shared" si="2"/>
        <v>0.16327619912025279</v>
      </c>
      <c r="O13" s="10">
        <f t="shared" si="3"/>
        <v>8.4361885937032061E-2</v>
      </c>
      <c r="P13" s="10">
        <f t="shared" si="1"/>
        <v>8.5175232195122977E-2</v>
      </c>
      <c r="Q13" s="10">
        <f t="shared" si="1"/>
        <v>7.0821938308510538E-2</v>
      </c>
      <c r="R13" s="10">
        <f t="shared" si="1"/>
        <v>6.9659346634389607E-2</v>
      </c>
      <c r="S13" s="10">
        <f t="shared" si="1"/>
        <v>6.6446130697331449E-2</v>
      </c>
      <c r="T13" s="11">
        <f t="shared" si="4"/>
        <v>7.5292906754477334E-2</v>
      </c>
    </row>
    <row r="14" spans="1:20" x14ac:dyDescent="0.35">
      <c r="A14" s="5" t="s">
        <v>13</v>
      </c>
      <c r="B14" s="6">
        <v>312431.71000000002</v>
      </c>
      <c r="C14" s="6">
        <v>309950.90999999997</v>
      </c>
      <c r="D14" s="6">
        <v>306268.28999999998</v>
      </c>
      <c r="E14" s="6">
        <v>295081.77</v>
      </c>
      <c r="F14" s="6">
        <v>284960.96000000002</v>
      </c>
      <c r="G14" s="6">
        <v>272244.59999999998</v>
      </c>
      <c r="H14" s="7">
        <v>272244.59999999998</v>
      </c>
      <c r="I14" s="13">
        <f t="shared" si="0"/>
        <v>1.9727254957571501E-2</v>
      </c>
      <c r="J14" s="13">
        <f t="shared" si="0"/>
        <v>4.7972564429638091E-2</v>
      </c>
      <c r="K14" s="13">
        <f t="shared" si="0"/>
        <v>6.9570800163477456E-2</v>
      </c>
      <c r="L14" s="13">
        <f t="shared" si="0"/>
        <v>7.7392683390776873E-2</v>
      </c>
      <c r="M14" s="13">
        <f t="shared" si="5"/>
        <v>4.4624919848669946E-2</v>
      </c>
      <c r="N14" s="9">
        <f t="shared" si="2"/>
        <v>5.1857644558026772E-2</v>
      </c>
      <c r="O14" s="10">
        <f t="shared" si="3"/>
        <v>4.7963887251551332E-2</v>
      </c>
      <c r="P14" s="10">
        <f t="shared" si="1"/>
        <v>4.9104600478245872E-2</v>
      </c>
      <c r="Q14" s="10">
        <f t="shared" si="1"/>
        <v>4.7332728519263768E-2</v>
      </c>
      <c r="R14" s="10">
        <f t="shared" si="1"/>
        <v>4.8069702605523366E-2</v>
      </c>
      <c r="S14" s="10">
        <f t="shared" si="1"/>
        <v>4.8957889072682705E-2</v>
      </c>
      <c r="T14" s="11">
        <f t="shared" si="4"/>
        <v>4.8285761585453404E-2</v>
      </c>
    </row>
    <row r="15" spans="1:20" x14ac:dyDescent="0.35">
      <c r="A15" s="5" t="s">
        <v>14</v>
      </c>
      <c r="B15" s="6">
        <v>228544.53</v>
      </c>
      <c r="C15" s="6">
        <v>223750.89</v>
      </c>
      <c r="D15" s="6">
        <v>224784.9</v>
      </c>
      <c r="E15" s="6">
        <v>217344.58</v>
      </c>
      <c r="F15" s="6">
        <v>206097.24</v>
      </c>
      <c r="G15" s="6">
        <v>196818.98</v>
      </c>
      <c r="H15" s="12">
        <v>196818.98</v>
      </c>
      <c r="I15" s="13">
        <f t="shared" si="0"/>
        <v>1.645031714388441E-2</v>
      </c>
      <c r="J15" s="13">
        <f t="shared" si="0"/>
        <v>2.8631439186677765E-2</v>
      </c>
      <c r="K15" s="13">
        <f t="shared" si="0"/>
        <v>8.3135744438349743E-2</v>
      </c>
      <c r="L15" s="13">
        <f t="shared" si="0"/>
        <v>9.4438057760630509E-2</v>
      </c>
      <c r="M15" s="13">
        <f t="shared" si="5"/>
        <v>4.5018846443552474E-2</v>
      </c>
      <c r="N15" s="9">
        <f t="shared" si="2"/>
        <v>5.3534880994618984E-2</v>
      </c>
      <c r="O15" s="10">
        <f t="shared" si="3"/>
        <v>3.5085696227437319E-2</v>
      </c>
      <c r="P15" s="10">
        <f t="shared" si="1"/>
        <v>3.544818777948399E-2</v>
      </c>
      <c r="Q15" s="10">
        <f t="shared" si="1"/>
        <v>3.4739746145217493E-2</v>
      </c>
      <c r="R15" s="10">
        <f t="shared" si="1"/>
        <v>3.5406081926112824E-2</v>
      </c>
      <c r="S15" s="10">
        <f t="shared" si="1"/>
        <v>3.5408660239304585E-2</v>
      </c>
      <c r="T15" s="11">
        <f t="shared" si="4"/>
        <v>3.5217674463511248E-2</v>
      </c>
    </row>
    <row r="16" spans="1:20" x14ac:dyDescent="0.35">
      <c r="A16" s="5" t="s">
        <v>15</v>
      </c>
      <c r="B16" s="6">
        <v>23442.95</v>
      </c>
      <c r="C16" s="6">
        <v>23108.93</v>
      </c>
      <c r="D16" s="6">
        <v>24650.84</v>
      </c>
      <c r="E16" s="6">
        <v>22681.34</v>
      </c>
      <c r="F16" s="6">
        <v>20970.5</v>
      </c>
      <c r="G16" s="6">
        <v>19446.7</v>
      </c>
      <c r="H16" s="7">
        <v>19446.7</v>
      </c>
      <c r="I16" s="13">
        <f t="shared" si="0"/>
        <v>-5.1524658799340498E-2</v>
      </c>
      <c r="J16" s="13">
        <f t="shared" si="0"/>
        <v>1.8503236627572119E-2</v>
      </c>
      <c r="K16" s="13">
        <f t="shared" si="0"/>
        <v>0.14929876628950575</v>
      </c>
      <c r="L16" s="13">
        <f t="shared" si="0"/>
        <v>0.14261238533525794</v>
      </c>
      <c r="M16" s="13">
        <f t="shared" si="5"/>
        <v>7.2663980353353488E-2</v>
      </c>
      <c r="N16" s="9">
        <f t="shared" si="2"/>
        <v>6.6310741961269765E-2</v>
      </c>
      <c r="O16" s="10">
        <f t="shared" si="3"/>
        <v>3.5989144976473586E-3</v>
      </c>
      <c r="P16" s="10">
        <f t="shared" si="1"/>
        <v>3.6610790241904776E-3</v>
      </c>
      <c r="Q16" s="10">
        <f t="shared" si="1"/>
        <v>3.809703960837108E-3</v>
      </c>
      <c r="R16" s="10">
        <f t="shared" si="1"/>
        <v>3.6948581015179669E-3</v>
      </c>
      <c r="S16" s="10">
        <f t="shared" si="1"/>
        <v>3.6028493615360246E-3</v>
      </c>
      <c r="T16" s="11">
        <f t="shared" si="4"/>
        <v>3.6734809891457872E-3</v>
      </c>
    </row>
    <row r="17" spans="1:20" ht="31" x14ac:dyDescent="0.35">
      <c r="A17" s="5" t="s">
        <v>16</v>
      </c>
      <c r="B17" s="6">
        <v>672846.92</v>
      </c>
      <c r="C17" s="6">
        <v>661857.18999999994</v>
      </c>
      <c r="D17" s="6">
        <v>672482.41</v>
      </c>
      <c r="E17" s="6">
        <v>650260.5</v>
      </c>
      <c r="F17" s="6">
        <v>629054.75</v>
      </c>
      <c r="G17" s="6">
        <v>615023.35</v>
      </c>
      <c r="H17" s="12">
        <v>615023.35</v>
      </c>
      <c r="I17" s="13">
        <f t="shared" si="0"/>
        <v>5.4174283802920474E-4</v>
      </c>
      <c r="J17" s="13">
        <f t="shared" si="0"/>
        <v>1.7521438423899187E-2</v>
      </c>
      <c r="K17" s="13">
        <f t="shared" si="0"/>
        <v>6.4578135211001322E-2</v>
      </c>
      <c r="L17" s="13">
        <f t="shared" si="0"/>
        <v>5.4189282602895336E-2</v>
      </c>
      <c r="M17" s="13">
        <f t="shared" si="5"/>
        <v>2.2305530639423712E-2</v>
      </c>
      <c r="N17" s="9">
        <f t="shared" si="2"/>
        <v>3.182722594304975E-2</v>
      </c>
      <c r="O17" s="10">
        <f t="shared" si="3"/>
        <v>0.10329410484113018</v>
      </c>
      <c r="P17" s="10">
        <f t="shared" si="1"/>
        <v>0.10485606539630572</v>
      </c>
      <c r="Q17" s="10">
        <f t="shared" si="1"/>
        <v>0.10392988234763133</v>
      </c>
      <c r="R17" s="10">
        <f t="shared" si="1"/>
        <v>0.1059293796804829</v>
      </c>
      <c r="S17" s="10">
        <f t="shared" si="1"/>
        <v>0.10807512955860392</v>
      </c>
      <c r="T17" s="11">
        <f t="shared" si="4"/>
        <v>0.1052169123648308</v>
      </c>
    </row>
    <row r="18" spans="1:20" x14ac:dyDescent="0.35">
      <c r="A18" s="5" t="s">
        <v>17</v>
      </c>
      <c r="B18" s="6">
        <v>443980.97</v>
      </c>
      <c r="C18" s="6">
        <v>433747.02</v>
      </c>
      <c r="D18" s="6">
        <v>434616.25</v>
      </c>
      <c r="E18" s="6">
        <v>409900.3</v>
      </c>
      <c r="F18" s="6">
        <v>386306.42</v>
      </c>
      <c r="G18" s="6">
        <v>360681.63</v>
      </c>
      <c r="H18" s="7">
        <v>360681.63</v>
      </c>
      <c r="I18" s="13">
        <f t="shared" si="0"/>
        <v>2.1092615748823589E-2</v>
      </c>
      <c r="J18" s="13">
        <f t="shared" si="0"/>
        <v>5.4978406537525094E-2</v>
      </c>
      <c r="K18" s="13">
        <f t="shared" si="0"/>
        <v>0.11115513973534127</v>
      </c>
      <c r="L18" s="13">
        <f t="shared" si="0"/>
        <v>0.12007473524659529</v>
      </c>
      <c r="M18" s="13">
        <f t="shared" si="5"/>
        <v>6.6332809069028623E-2</v>
      </c>
      <c r="N18" s="9">
        <f t="shared" si="2"/>
        <v>7.4726741267462773E-2</v>
      </c>
      <c r="O18" s="10">
        <f t="shared" si="3"/>
        <v>6.8159064862252275E-2</v>
      </c>
      <c r="P18" s="10">
        <f t="shared" si="1"/>
        <v>6.8717249856532839E-2</v>
      </c>
      <c r="Q18" s="10">
        <f t="shared" si="1"/>
        <v>6.7168471706001528E-2</v>
      </c>
      <c r="R18" s="10">
        <f t="shared" si="1"/>
        <v>6.6773984441379788E-2</v>
      </c>
      <c r="S18" s="10">
        <f t="shared" si="1"/>
        <v>6.636960676446757E-2</v>
      </c>
      <c r="T18" s="11">
        <f t="shared" si="4"/>
        <v>6.7437675526126797E-2</v>
      </c>
    </row>
    <row r="19" spans="1:20" x14ac:dyDescent="0.35">
      <c r="A19" s="5" t="s">
        <v>18</v>
      </c>
      <c r="B19" s="6">
        <v>197738.53</v>
      </c>
      <c r="C19" s="6">
        <v>196096.83</v>
      </c>
      <c r="D19" s="6">
        <v>180514.13</v>
      </c>
      <c r="E19" s="6">
        <v>169715.19</v>
      </c>
      <c r="F19" s="6">
        <v>157412.71</v>
      </c>
      <c r="G19" s="6">
        <v>144790.57999999999</v>
      </c>
      <c r="H19" s="12">
        <v>144790.57999999999</v>
      </c>
      <c r="I19" s="13">
        <f t="shared" si="0"/>
        <v>8.710694875702775E-2</v>
      </c>
      <c r="J19" s="13">
        <f t="shared" si="0"/>
        <v>0.13453374029554677</v>
      </c>
      <c r="K19" s="13">
        <f t="shared" si="0"/>
        <v>0.12797568810818308</v>
      </c>
      <c r="L19" s="13">
        <f t="shared" si="0"/>
        <v>0.14686139761561717</v>
      </c>
      <c r="M19" s="13">
        <f t="shared" si="5"/>
        <v>8.0184948216697402E-2</v>
      </c>
      <c r="N19" s="9">
        <f t="shared" si="2"/>
        <v>0.11533254459861442</v>
      </c>
      <c r="O19" s="10">
        <f t="shared" si="3"/>
        <v>3.0356421114257254E-2</v>
      </c>
      <c r="P19" s="10">
        <f t="shared" si="1"/>
        <v>3.1067037332461776E-2</v>
      </c>
      <c r="Q19" s="10">
        <f t="shared" si="1"/>
        <v>2.7897848351133861E-2</v>
      </c>
      <c r="R19" s="10">
        <f t="shared" si="1"/>
        <v>2.764711188678275E-2</v>
      </c>
      <c r="S19" s="10">
        <f t="shared" si="1"/>
        <v>2.7044385289866971E-2</v>
      </c>
      <c r="T19" s="11">
        <f t="shared" si="4"/>
        <v>2.8802560794900522E-2</v>
      </c>
    </row>
    <row r="20" spans="1:20" x14ac:dyDescent="0.35">
      <c r="A20" s="5" t="s">
        <v>19</v>
      </c>
      <c r="B20" s="6">
        <v>139579.01999999999</v>
      </c>
      <c r="C20" s="6">
        <v>138139.4</v>
      </c>
      <c r="D20" s="6">
        <v>148576.93</v>
      </c>
      <c r="E20" s="6">
        <v>136505.66</v>
      </c>
      <c r="F20" s="6">
        <v>124894.17</v>
      </c>
      <c r="G20" s="6">
        <v>114313.07</v>
      </c>
      <c r="H20" s="7">
        <v>114313.07</v>
      </c>
      <c r="I20" s="14">
        <f t="shared" ref="I20:L20" si="6">(B20-D20)/B20</f>
        <v>-6.4464630859279601E-2</v>
      </c>
      <c r="J20" s="14">
        <f t="shared" si="6"/>
        <v>1.1826748921741305E-2</v>
      </c>
      <c r="K20" s="14">
        <f t="shared" si="6"/>
        <v>0.15939729000996317</v>
      </c>
      <c r="L20" s="14">
        <f t="shared" si="6"/>
        <v>0.16257633566256516</v>
      </c>
      <c r="M20" s="14">
        <f t="shared" si="5"/>
        <v>8.4720527787646063E-2</v>
      </c>
      <c r="N20" s="15">
        <f t="shared" si="2"/>
        <v>7.0811254304527213E-2</v>
      </c>
      <c r="O20" s="10">
        <f t="shared" si="3"/>
        <v>2.1427890203468872E-2</v>
      </c>
      <c r="P20" s="10">
        <f t="shared" ref="P20:P21" si="7">C20/C$21</f>
        <v>2.1885014137576167E-2</v>
      </c>
      <c r="Q20" s="10">
        <f t="shared" ref="Q20:Q21" si="8">D20/D$21</f>
        <v>2.2962062092408118E-2</v>
      </c>
      <c r="R20" s="10">
        <f t="shared" ref="R20:R21" si="9">E20/E$21</f>
        <v>2.2237180155760507E-2</v>
      </c>
      <c r="S20" s="10">
        <f t="shared" ref="S20:S21" si="10">F20/F$21</f>
        <v>2.145751797258395E-2</v>
      </c>
      <c r="T20" s="11">
        <f t="shared" si="4"/>
        <v>2.1993932912359522E-2</v>
      </c>
    </row>
    <row r="21" spans="1:20" x14ac:dyDescent="0.35">
      <c r="A21" s="16" t="s">
        <v>20</v>
      </c>
      <c r="B21" s="17">
        <v>6513894.6799999997</v>
      </c>
      <c r="C21" s="17">
        <v>6312054.4100000001</v>
      </c>
      <c r="D21" s="17">
        <v>6470539.5099999998</v>
      </c>
      <c r="E21" s="17">
        <v>6138622.75</v>
      </c>
      <c r="F21" s="17">
        <v>5820532</v>
      </c>
      <c r="G21" s="17">
        <v>5521525.54</v>
      </c>
      <c r="H21" s="18">
        <v>5521525.54</v>
      </c>
      <c r="I21" s="6"/>
      <c r="J21" s="6"/>
      <c r="K21" s="6"/>
      <c r="L21" s="6"/>
      <c r="M21" s="6"/>
      <c r="N21" s="6"/>
      <c r="O21" s="10">
        <f t="shared" si="3"/>
        <v>1</v>
      </c>
      <c r="P21" s="10">
        <f t="shared" si="7"/>
        <v>1</v>
      </c>
      <c r="Q21" s="10">
        <f t="shared" si="8"/>
        <v>1</v>
      </c>
      <c r="R21" s="10">
        <f t="shared" si="9"/>
        <v>1</v>
      </c>
      <c r="S21" s="10">
        <f t="shared" si="10"/>
        <v>1</v>
      </c>
      <c r="T21" s="11">
        <f t="shared" si="4"/>
        <v>1</v>
      </c>
    </row>
    <row r="22" spans="1:20" x14ac:dyDescent="0.35">
      <c r="A22" s="19"/>
      <c r="H22" s="20"/>
    </row>
    <row r="26" spans="1:20" ht="14.5" customHeight="1" x14ac:dyDescent="0.35">
      <c r="A26" s="91" t="s">
        <v>0</v>
      </c>
      <c r="B26" s="91" t="s">
        <v>30</v>
      </c>
      <c r="C26" s="91"/>
      <c r="D26" s="91"/>
      <c r="E26" s="91"/>
      <c r="F26" s="91"/>
      <c r="G26" s="91"/>
      <c r="H26" s="92" t="s">
        <v>31</v>
      </c>
    </row>
    <row r="27" spans="1:20" x14ac:dyDescent="0.35">
      <c r="A27" s="91"/>
      <c r="B27" s="91"/>
      <c r="C27" s="91"/>
      <c r="D27" s="91"/>
      <c r="E27" s="91"/>
      <c r="F27" s="91"/>
      <c r="G27" s="91"/>
      <c r="H27" s="92"/>
    </row>
    <row r="28" spans="1:20" x14ac:dyDescent="0.35">
      <c r="A28" s="91"/>
      <c r="B28" s="21">
        <v>2021</v>
      </c>
      <c r="C28" s="21">
        <v>2020</v>
      </c>
      <c r="D28" s="21">
        <v>2019</v>
      </c>
      <c r="E28" s="21">
        <v>2018</v>
      </c>
      <c r="F28" s="21">
        <v>2017</v>
      </c>
      <c r="G28" s="22"/>
      <c r="H28" s="92"/>
    </row>
    <row r="29" spans="1:20" x14ac:dyDescent="0.35">
      <c r="A29" s="65" t="s">
        <v>3</v>
      </c>
      <c r="B29" s="25">
        <f t="shared" ref="B29:B45" si="11">(B4/$B$21)/(B51/$B$68)</f>
        <v>0.14069893147911566</v>
      </c>
      <c r="C29" s="25">
        <f t="shared" ref="C29:C45" si="12">(C4/$C$21)/(C51/$C$68)</f>
        <v>0.14106927696390134</v>
      </c>
      <c r="D29" s="25">
        <f t="shared" ref="D29:D45" si="13">(D4/$B$21)/(D51/$D$68)</f>
        <v>0.14273725633634443</v>
      </c>
      <c r="E29" s="25">
        <f>(E4/$E$21)/(E51/$E$68)</f>
        <v>0.13849299080298019</v>
      </c>
      <c r="F29" s="25">
        <f>(F4/$F$21)/(F51/$F$68)</f>
        <v>0.14113166001407385</v>
      </c>
      <c r="G29" s="25"/>
      <c r="H29" s="25">
        <f>AVERAGE(B29:F29)</f>
        <v>0.14082602311928311</v>
      </c>
      <c r="J29" s="66" t="s">
        <v>114</v>
      </c>
      <c r="K29" s="66"/>
      <c r="L29" s="66"/>
      <c r="M29" s="66"/>
    </row>
    <row r="30" spans="1:20" x14ac:dyDescent="0.35">
      <c r="A30" s="65" t="s">
        <v>4</v>
      </c>
      <c r="B30" s="25">
        <f t="shared" si="11"/>
        <v>0</v>
      </c>
      <c r="C30" s="25">
        <f t="shared" si="12"/>
        <v>0</v>
      </c>
      <c r="D30" s="25">
        <f t="shared" si="13"/>
        <v>0</v>
      </c>
      <c r="E30" s="25">
        <v>0</v>
      </c>
      <c r="F30" s="25">
        <v>0</v>
      </c>
      <c r="G30" s="25"/>
      <c r="H30" s="25">
        <f t="shared" ref="H30:H45" si="14">AVERAGE(B30:F30)</f>
        <v>0</v>
      </c>
      <c r="J30" s="66" t="s">
        <v>115</v>
      </c>
      <c r="K30" s="66"/>
      <c r="L30" s="66"/>
      <c r="M30" s="66"/>
    </row>
    <row r="31" spans="1:20" x14ac:dyDescent="0.35">
      <c r="A31" s="65" t="s">
        <v>5</v>
      </c>
      <c r="B31" s="25">
        <f t="shared" si="11"/>
        <v>0.44873845365532106</v>
      </c>
      <c r="C31" s="25">
        <f t="shared" si="12"/>
        <v>0.43811796570619221</v>
      </c>
      <c r="D31" s="25">
        <f t="shared" si="13"/>
        <v>0.42042573902221059</v>
      </c>
      <c r="E31" s="25">
        <f t="shared" ref="E31:E45" si="15">(E6/$E$21)/(E53/$E$68)</f>
        <v>0.42561726356228996</v>
      </c>
      <c r="F31" s="25">
        <f t="shared" ref="F31:F45" si="16">(F6/$F$21)/(F53/$F$68)</f>
        <v>0.42980222700286613</v>
      </c>
      <c r="G31" s="25"/>
      <c r="H31" s="25">
        <f t="shared" si="14"/>
        <v>0.43254032978977597</v>
      </c>
    </row>
    <row r="32" spans="1:20" x14ac:dyDescent="0.35">
      <c r="A32" s="23" t="s">
        <v>6</v>
      </c>
      <c r="B32" s="24">
        <f t="shared" si="11"/>
        <v>3.270070176290266</v>
      </c>
      <c r="C32" s="24">
        <f t="shared" si="12"/>
        <v>3.1536018035905808</v>
      </c>
      <c r="D32" s="24">
        <f t="shared" si="13"/>
        <v>3.1389110700553484</v>
      </c>
      <c r="E32" s="24">
        <f t="shared" si="15"/>
        <v>3.15129773649012</v>
      </c>
      <c r="F32" s="24">
        <f t="shared" si="16"/>
        <v>3.1270095984663375</v>
      </c>
      <c r="G32" s="24"/>
      <c r="H32" s="24">
        <f t="shared" si="14"/>
        <v>3.1681780769785304</v>
      </c>
    </row>
    <row r="33" spans="1:20" x14ac:dyDescent="0.35">
      <c r="A33" s="23" t="s">
        <v>7</v>
      </c>
      <c r="B33" s="24">
        <f t="shared" si="11"/>
        <v>1.8276047803287985</v>
      </c>
      <c r="C33" s="24">
        <f t="shared" si="12"/>
        <v>1.9294534063426474</v>
      </c>
      <c r="D33" s="24">
        <f t="shared" si="13"/>
        <v>1.9737693575878386</v>
      </c>
      <c r="E33" s="24">
        <f t="shared" si="15"/>
        <v>1.9938822193948096</v>
      </c>
      <c r="F33" s="24">
        <f t="shared" si="16"/>
        <v>2.011248246474274</v>
      </c>
      <c r="G33" s="24"/>
      <c r="H33" s="24">
        <f t="shared" si="14"/>
        <v>1.9471916020256734</v>
      </c>
    </row>
    <row r="34" spans="1:20" x14ac:dyDescent="0.35">
      <c r="A34" s="23" t="s">
        <v>8</v>
      </c>
      <c r="B34" s="24">
        <f t="shared" si="11"/>
        <v>1.5130466491825691</v>
      </c>
      <c r="C34" s="24">
        <f t="shared" si="12"/>
        <v>1.5716168980028347</v>
      </c>
      <c r="D34" s="24">
        <f t="shared" si="13"/>
        <v>1.5346797676324375</v>
      </c>
      <c r="E34" s="24">
        <f t="shared" si="15"/>
        <v>1.5592242098794398</v>
      </c>
      <c r="F34" s="24">
        <f t="shared" si="16"/>
        <v>1.5762032438498501</v>
      </c>
      <c r="G34" s="24"/>
      <c r="H34" s="24">
        <f t="shared" si="14"/>
        <v>1.550954153709426</v>
      </c>
    </row>
    <row r="35" spans="1:20" ht="31" x14ac:dyDescent="0.35">
      <c r="A35" s="23" t="s">
        <v>9</v>
      </c>
      <c r="B35" s="24">
        <f t="shared" si="11"/>
        <v>1.0506708683897632</v>
      </c>
      <c r="C35" s="24">
        <f t="shared" si="12"/>
        <v>1.0534970893659343</v>
      </c>
      <c r="D35" s="24">
        <f t="shared" si="13"/>
        <v>1.0454458642410844</v>
      </c>
      <c r="E35" s="24">
        <f t="shared" si="15"/>
        <v>1.0571861948849723</v>
      </c>
      <c r="F35" s="24">
        <f t="shared" si="16"/>
        <v>1.057916585488174</v>
      </c>
      <c r="G35" s="24"/>
      <c r="H35" s="24">
        <f t="shared" si="14"/>
        <v>1.0529433204739855</v>
      </c>
    </row>
    <row r="36" spans="1:20" x14ac:dyDescent="0.35">
      <c r="A36" s="23" t="s">
        <v>10</v>
      </c>
      <c r="B36" s="24">
        <f t="shared" si="11"/>
        <v>2.4027414281758799</v>
      </c>
      <c r="C36" s="24">
        <f t="shared" si="12"/>
        <v>2.410084198603526</v>
      </c>
      <c r="D36" s="24">
        <f t="shared" si="13"/>
        <v>2.2336064969010638</v>
      </c>
      <c r="E36" s="24">
        <f t="shared" si="15"/>
        <v>2.2531930915570197</v>
      </c>
      <c r="F36" s="24">
        <f t="shared" si="16"/>
        <v>2.2788029727038137</v>
      </c>
      <c r="G36" s="24"/>
      <c r="H36" s="24">
        <f t="shared" si="14"/>
        <v>2.3156856375882606</v>
      </c>
    </row>
    <row r="37" spans="1:20" x14ac:dyDescent="0.35">
      <c r="A37" s="23" t="s">
        <v>11</v>
      </c>
      <c r="B37" s="24">
        <f t="shared" si="11"/>
        <v>1.7438298977217839</v>
      </c>
      <c r="C37" s="24">
        <f t="shared" si="12"/>
        <v>1.7633867296858166</v>
      </c>
      <c r="D37" s="24">
        <f t="shared" si="13"/>
        <v>1.7852532978229334</v>
      </c>
      <c r="E37" s="24">
        <f t="shared" si="15"/>
        <v>1.8049007089169058</v>
      </c>
      <c r="F37" s="24">
        <f t="shared" si="16"/>
        <v>1.8289982044451658</v>
      </c>
      <c r="G37" s="24"/>
      <c r="H37" s="24">
        <f t="shared" si="14"/>
        <v>1.7852737677185211</v>
      </c>
    </row>
    <row r="38" spans="1:20" x14ac:dyDescent="0.35">
      <c r="A38" s="23" t="s">
        <v>12</v>
      </c>
      <c r="B38" s="24">
        <f t="shared" si="11"/>
        <v>1.3507681395665396</v>
      </c>
      <c r="C38" s="24">
        <f t="shared" si="12"/>
        <v>1.3996350011633325</v>
      </c>
      <c r="D38" s="24">
        <f t="shared" si="13"/>
        <v>1.3733950974197477</v>
      </c>
      <c r="E38" s="24">
        <f t="shared" si="15"/>
        <v>1.4407577056887502</v>
      </c>
      <c r="F38" s="24">
        <f t="shared" si="16"/>
        <v>1.4668522299022215</v>
      </c>
      <c r="G38" s="24"/>
      <c r="H38" s="24">
        <f t="shared" si="14"/>
        <v>1.4062816347481182</v>
      </c>
    </row>
    <row r="39" spans="1:20" x14ac:dyDescent="0.35">
      <c r="A39" s="23" t="s">
        <v>13</v>
      </c>
      <c r="B39" s="24">
        <f t="shared" si="11"/>
        <v>1.7366257030010017</v>
      </c>
      <c r="C39" s="24">
        <f t="shared" si="12"/>
        <v>1.7485737097030645</v>
      </c>
      <c r="D39" s="24">
        <f t="shared" si="13"/>
        <v>1.7570105460573093</v>
      </c>
      <c r="E39" s="24">
        <f t="shared" si="15"/>
        <v>1.7646579479257296</v>
      </c>
      <c r="F39" s="24">
        <f t="shared" si="16"/>
        <v>1.7679301874485158</v>
      </c>
      <c r="G39" s="24"/>
      <c r="H39" s="24">
        <f t="shared" si="14"/>
        <v>1.7549596188271241</v>
      </c>
    </row>
    <row r="40" spans="1:20" x14ac:dyDescent="0.35">
      <c r="A40" s="23" t="s">
        <v>14</v>
      </c>
      <c r="B40" s="24">
        <f t="shared" si="11"/>
        <v>1.8288633783019037</v>
      </c>
      <c r="C40" s="24">
        <f t="shared" si="12"/>
        <v>1.8267440679660425</v>
      </c>
      <c r="D40" s="24">
        <f t="shared" si="13"/>
        <v>1.8216933549562553</v>
      </c>
      <c r="E40" s="24">
        <f t="shared" si="15"/>
        <v>1.8721925527022927</v>
      </c>
      <c r="F40" s="24">
        <f t="shared" si="16"/>
        <v>1.8773547936397654</v>
      </c>
      <c r="G40" s="24"/>
      <c r="H40" s="24">
        <f t="shared" si="14"/>
        <v>1.845369629513252</v>
      </c>
    </row>
    <row r="41" spans="1:20" x14ac:dyDescent="0.35">
      <c r="A41" s="65" t="s">
        <v>15</v>
      </c>
      <c r="B41" s="25">
        <f t="shared" si="11"/>
        <v>0.94045488843505576</v>
      </c>
      <c r="C41" s="25">
        <f t="shared" si="12"/>
        <v>0.95432168381029925</v>
      </c>
      <c r="D41" s="25">
        <f t="shared" si="13"/>
        <v>0.94045362656043308</v>
      </c>
      <c r="E41" s="25">
        <f t="shared" si="15"/>
        <v>0.96340017206391537</v>
      </c>
      <c r="F41" s="25">
        <f t="shared" si="16"/>
        <v>0.97676197369328266</v>
      </c>
      <c r="G41" s="25"/>
      <c r="H41" s="25">
        <f t="shared" si="14"/>
        <v>0.95507846891259729</v>
      </c>
    </row>
    <row r="42" spans="1:20" ht="31" x14ac:dyDescent="0.35">
      <c r="A42" s="23" t="s">
        <v>16</v>
      </c>
      <c r="B42" s="24">
        <f t="shared" si="11"/>
        <v>4.1999761379198572</v>
      </c>
      <c r="C42" s="24">
        <f t="shared" si="12"/>
        <v>4.0997138883340041</v>
      </c>
      <c r="D42" s="24">
        <f t="shared" si="13"/>
        <v>4.0890135304155191</v>
      </c>
      <c r="E42" s="24">
        <f t="shared" si="15"/>
        <v>4.1299937116493473</v>
      </c>
      <c r="F42" s="24">
        <f t="shared" si="16"/>
        <v>4.1447799456792636</v>
      </c>
      <c r="G42" s="24"/>
      <c r="H42" s="24">
        <f t="shared" si="14"/>
        <v>4.1326954427995988</v>
      </c>
    </row>
    <row r="43" spans="1:20" x14ac:dyDescent="0.35">
      <c r="A43" s="23" t="s">
        <v>17</v>
      </c>
      <c r="B43" s="24">
        <f t="shared" si="11"/>
        <v>1.7441466640859642</v>
      </c>
      <c r="C43" s="24">
        <f t="shared" si="12"/>
        <v>1.7029794269143648</v>
      </c>
      <c r="D43" s="24">
        <f t="shared" si="13"/>
        <v>1.694521124450123</v>
      </c>
      <c r="E43" s="24">
        <f t="shared" si="15"/>
        <v>1.7317932066767154</v>
      </c>
      <c r="F43" s="24">
        <f t="shared" si="16"/>
        <v>1.7615020760240767</v>
      </c>
      <c r="G43" s="24"/>
      <c r="H43" s="24">
        <f t="shared" si="14"/>
        <v>1.7269884996302487</v>
      </c>
    </row>
    <row r="44" spans="1:20" x14ac:dyDescent="0.35">
      <c r="A44" s="23" t="s">
        <v>18</v>
      </c>
      <c r="B44" s="24">
        <f t="shared" si="11"/>
        <v>3.1964565902962785</v>
      </c>
      <c r="C44" s="24">
        <f t="shared" si="12"/>
        <v>3.1717046535245648</v>
      </c>
      <c r="D44" s="24">
        <f t="shared" si="13"/>
        <v>3.1444168554608134</v>
      </c>
      <c r="E44" s="24">
        <f t="shared" si="15"/>
        <v>3.1776675565753472</v>
      </c>
      <c r="F44" s="24">
        <f t="shared" si="16"/>
        <v>3.2117974585768265</v>
      </c>
      <c r="G44" s="24"/>
      <c r="H44" s="24">
        <f t="shared" si="14"/>
        <v>3.1804086228867661</v>
      </c>
    </row>
    <row r="45" spans="1:20" x14ac:dyDescent="0.35">
      <c r="A45" s="23" t="s">
        <v>19</v>
      </c>
      <c r="B45" s="24">
        <f t="shared" si="11"/>
        <v>1.3299877577196726</v>
      </c>
      <c r="C45" s="24">
        <f t="shared" si="12"/>
        <v>1.3215506385543485</v>
      </c>
      <c r="D45" s="24">
        <f t="shared" si="13"/>
        <v>1.3015755651010528</v>
      </c>
      <c r="E45" s="24">
        <f t="shared" si="15"/>
        <v>1.3130822480884146</v>
      </c>
      <c r="F45" s="24">
        <f t="shared" si="16"/>
        <v>1.3169809091390612</v>
      </c>
      <c r="G45" s="24"/>
      <c r="H45" s="24">
        <f t="shared" si="14"/>
        <v>1.3166354237205098</v>
      </c>
    </row>
    <row r="46" spans="1:20" x14ac:dyDescent="0.35">
      <c r="A46" s="19"/>
    </row>
    <row r="47" spans="1:20" x14ac:dyDescent="0.35">
      <c r="A47" s="19"/>
    </row>
    <row r="48" spans="1:20" ht="14.5" customHeight="1" x14ac:dyDescent="0.35">
      <c r="A48" s="85" t="s">
        <v>21</v>
      </c>
      <c r="B48" s="88" t="s">
        <v>22</v>
      </c>
      <c r="C48" s="89"/>
      <c r="D48" s="89"/>
      <c r="E48" s="89"/>
      <c r="F48" s="89"/>
      <c r="G48" s="89"/>
      <c r="H48" s="89"/>
      <c r="I48" s="90" t="s">
        <v>32</v>
      </c>
      <c r="J48" s="90"/>
      <c r="K48" s="90"/>
      <c r="L48" s="90"/>
      <c r="M48" s="90"/>
      <c r="N48" s="99" t="s">
        <v>33</v>
      </c>
      <c r="O48" s="95" t="s">
        <v>34</v>
      </c>
      <c r="P48" s="96"/>
      <c r="Q48" s="96"/>
      <c r="R48" s="96"/>
      <c r="S48" s="96"/>
      <c r="T48" s="78" t="s">
        <v>33</v>
      </c>
    </row>
    <row r="49" spans="1:20" x14ac:dyDescent="0.35">
      <c r="A49" s="86"/>
      <c r="B49" s="88"/>
      <c r="C49" s="89"/>
      <c r="D49" s="89"/>
      <c r="E49" s="89"/>
      <c r="F49" s="89"/>
      <c r="G49" s="89"/>
      <c r="H49" s="89"/>
      <c r="I49" s="90"/>
      <c r="J49" s="90"/>
      <c r="K49" s="90"/>
      <c r="L49" s="90"/>
      <c r="M49" s="90"/>
      <c r="N49" s="99"/>
      <c r="O49" s="97"/>
      <c r="P49" s="98"/>
      <c r="Q49" s="98"/>
      <c r="R49" s="98"/>
      <c r="S49" s="98"/>
      <c r="T49" s="78"/>
    </row>
    <row r="50" spans="1:20" x14ac:dyDescent="0.35">
      <c r="A50" s="87"/>
      <c r="B50" s="26">
        <v>2021</v>
      </c>
      <c r="C50" s="26">
        <v>2020</v>
      </c>
      <c r="D50" s="26">
        <v>2019</v>
      </c>
      <c r="E50" s="26">
        <v>2018</v>
      </c>
      <c r="F50" s="26">
        <v>2017</v>
      </c>
      <c r="H50" s="27">
        <v>2016</v>
      </c>
      <c r="I50" s="2">
        <v>2021</v>
      </c>
      <c r="J50" s="2">
        <v>2020</v>
      </c>
      <c r="K50" s="2">
        <v>2019</v>
      </c>
      <c r="L50" s="2">
        <v>2018</v>
      </c>
      <c r="M50" s="2">
        <v>2017</v>
      </c>
      <c r="N50" s="99"/>
      <c r="O50" s="2">
        <v>2021</v>
      </c>
      <c r="P50" s="2">
        <v>2020</v>
      </c>
      <c r="Q50" s="2">
        <v>2019</v>
      </c>
      <c r="R50" s="2">
        <v>2018</v>
      </c>
      <c r="S50" s="4">
        <v>2017</v>
      </c>
      <c r="T50" s="78"/>
    </row>
    <row r="51" spans="1:20" x14ac:dyDescent="0.35">
      <c r="A51" s="5" t="s">
        <v>3</v>
      </c>
      <c r="B51" s="6">
        <v>127089152.20999999</v>
      </c>
      <c r="C51" s="6">
        <v>126111758.09</v>
      </c>
      <c r="D51" s="6">
        <v>123150021.54000001</v>
      </c>
      <c r="E51" s="6">
        <v>121554478.23999999</v>
      </c>
      <c r="F51" s="6">
        <v>118450171.8</v>
      </c>
      <c r="H51" s="7">
        <v>116331116.45</v>
      </c>
      <c r="I51" s="13">
        <f t="shared" ref="I51:L51" si="17">(B51-D51)/B51</f>
        <v>3.0995018862751033E-2</v>
      </c>
      <c r="J51" s="13">
        <f t="shared" si="17"/>
        <v>3.6136835446760593E-2</v>
      </c>
      <c r="K51" s="13">
        <f t="shared" si="17"/>
        <v>3.8163612813282899E-2</v>
      </c>
      <c r="L51" s="13">
        <f t="shared" si="17"/>
        <v>1</v>
      </c>
      <c r="M51" s="13">
        <f>(F51-H51)/F51</f>
        <v>1.7889846150480587E-2</v>
      </c>
      <c r="N51" s="28">
        <f>SUM(I51:M51)/5</f>
        <v>0.22463706265465505</v>
      </c>
      <c r="O51" s="29">
        <f>B51/B$68</f>
        <v>0.12742746551874107</v>
      </c>
      <c r="P51" s="29">
        <f t="shared" ref="P51:S51" si="18">C51/C$68</f>
        <v>0.1306549888434228</v>
      </c>
      <c r="Q51" s="29">
        <f t="shared" si="18"/>
        <v>0.12420369823471203</v>
      </c>
      <c r="R51" s="29">
        <f t="shared" si="18"/>
        <v>0.12916334303331076</v>
      </c>
      <c r="S51" s="29">
        <f t="shared" si="18"/>
        <v>0.13253161683704731</v>
      </c>
      <c r="T51" s="11">
        <f>SUM(O51:S51)/5</f>
        <v>0.1287962224934468</v>
      </c>
    </row>
    <row r="52" spans="1:20" x14ac:dyDescent="0.35">
      <c r="A52" s="5" t="s">
        <v>4</v>
      </c>
      <c r="B52" s="6">
        <v>22326160.09</v>
      </c>
      <c r="C52" s="6">
        <v>21385267.52</v>
      </c>
      <c r="D52" s="6">
        <v>21557115.27</v>
      </c>
      <c r="E52" s="6">
        <v>20855981.920000002</v>
      </c>
      <c r="F52" s="6">
        <v>20356483.140000001</v>
      </c>
      <c r="H52" s="30">
        <v>19367597.219999999</v>
      </c>
      <c r="I52" s="13">
        <f t="shared" ref="I52:I67" si="19">(B52-D52)/B52</f>
        <v>3.444590636723327E-2</v>
      </c>
      <c r="J52" s="13">
        <f t="shared" ref="J52:J67" si="20">(C52-E52)/C52</f>
        <v>2.4750010702695096E-2</v>
      </c>
      <c r="K52" s="13">
        <f t="shared" ref="K52:K67" si="21">(D52-F52)/D52</f>
        <v>5.5695398709996277E-2</v>
      </c>
      <c r="L52" s="13">
        <f t="shared" ref="L52:L67" si="22">(E52-G52)/E52</f>
        <v>1</v>
      </c>
      <c r="M52" s="13">
        <f t="shared" ref="M52:M67" si="23">(F52-H52)/F52</f>
        <v>4.8578426499264242E-2</v>
      </c>
      <c r="N52" s="28">
        <f t="shared" ref="N52:N67" si="24">SUM(I52:M52)/5</f>
        <v>0.23269394845583777</v>
      </c>
      <c r="O52" s="29">
        <f t="shared" ref="O52:O68" si="25">B52/B$68</f>
        <v>2.2385592676968949E-2</v>
      </c>
      <c r="P52" s="29">
        <f t="shared" ref="P52:P68" si="26">C52/C$68</f>
        <v>2.2155681052715166E-2</v>
      </c>
      <c r="Q52" s="29">
        <f t="shared" ref="Q52:Q68" si="27">D52/D$68</f>
        <v>2.1741558842816117E-2</v>
      </c>
      <c r="R52" s="29">
        <f t="shared" ref="R52:R68" si="28">E52/E$68</f>
        <v>2.2161489942894002E-2</v>
      </c>
      <c r="S52" s="29">
        <f t="shared" ref="S52:S68" si="29">F52/F$68</f>
        <v>2.2776477084521157E-2</v>
      </c>
      <c r="T52" s="11">
        <f t="shared" ref="T52:T68" si="30">SUM(O52:S52)/5</f>
        <v>2.2244159919983079E-2</v>
      </c>
    </row>
    <row r="53" spans="1:20" x14ac:dyDescent="0.35">
      <c r="A53" s="5" t="s">
        <v>5</v>
      </c>
      <c r="B53" s="6">
        <v>333239628.95999998</v>
      </c>
      <c r="C53" s="6">
        <v>325617665.72000003</v>
      </c>
      <c r="D53" s="6">
        <v>338470983.19999999</v>
      </c>
      <c r="E53" s="6">
        <v>322143287.27999997</v>
      </c>
      <c r="F53" s="6">
        <v>308770221.89999998</v>
      </c>
      <c r="H53" s="7">
        <v>295960836.45999998</v>
      </c>
      <c r="I53" s="13">
        <f t="shared" si="19"/>
        <v>-1.5698475767502277E-2</v>
      </c>
      <c r="J53" s="13">
        <f t="shared" si="20"/>
        <v>1.0670116537803847E-2</v>
      </c>
      <c r="K53" s="13">
        <f t="shared" si="21"/>
        <v>8.7749800645244833E-2</v>
      </c>
      <c r="L53" s="13">
        <f t="shared" si="22"/>
        <v>1</v>
      </c>
      <c r="M53" s="13">
        <f t="shared" si="23"/>
        <v>4.1485170950677087E-2</v>
      </c>
      <c r="N53" s="28">
        <f t="shared" si="24"/>
        <v>0.2248413224732447</v>
      </c>
      <c r="O53" s="29">
        <f t="shared" si="25"/>
        <v>0.33412671805861022</v>
      </c>
      <c r="P53" s="29">
        <f t="shared" si="26"/>
        <v>0.33734818327967991</v>
      </c>
      <c r="Q53" s="29">
        <f t="shared" si="27"/>
        <v>0.34136695497795266</v>
      </c>
      <c r="R53" s="29">
        <f t="shared" si="28"/>
        <v>0.34230827628309202</v>
      </c>
      <c r="S53" s="29">
        <f t="shared" si="29"/>
        <v>0.34547705687279445</v>
      </c>
      <c r="T53" s="11">
        <f t="shared" si="30"/>
        <v>0.34012543789442584</v>
      </c>
    </row>
    <row r="54" spans="1:20" x14ac:dyDescent="0.35">
      <c r="A54" s="5" t="s">
        <v>23</v>
      </c>
      <c r="B54" s="6">
        <v>1170513.29</v>
      </c>
      <c r="C54" s="6">
        <v>1104726.82</v>
      </c>
      <c r="D54" s="6">
        <v>1085272.3799999999</v>
      </c>
      <c r="E54" s="6">
        <v>1028917.24</v>
      </c>
      <c r="F54" s="6">
        <v>976552.87</v>
      </c>
      <c r="H54" s="30">
        <v>928106.1</v>
      </c>
      <c r="I54" s="13">
        <f t="shared" si="19"/>
        <v>7.2823530265085798E-2</v>
      </c>
      <c r="J54" s="13">
        <f t="shared" si="20"/>
        <v>6.8622919827365167E-2</v>
      </c>
      <c r="K54" s="13">
        <f t="shared" si="21"/>
        <v>0.10017716474089196</v>
      </c>
      <c r="L54" s="13">
        <f t="shared" si="22"/>
        <v>1</v>
      </c>
      <c r="M54" s="13">
        <f t="shared" si="23"/>
        <v>4.9609981689982659E-2</v>
      </c>
      <c r="N54" s="28">
        <f t="shared" si="24"/>
        <v>0.25824671930466514</v>
      </c>
      <c r="O54" s="29">
        <f t="shared" si="25"/>
        <v>1.1736292146653166E-3</v>
      </c>
      <c r="P54" s="29">
        <f t="shared" si="26"/>
        <v>1.1445250825789194E-3</v>
      </c>
      <c r="Q54" s="29">
        <f t="shared" si="27"/>
        <v>1.0945580155193508E-3</v>
      </c>
      <c r="R54" s="29">
        <f t="shared" si="28"/>
        <v>1.0933236878415097E-3</v>
      </c>
      <c r="S54" s="29">
        <f t="shared" si="29"/>
        <v>1.0926462057521378E-3</v>
      </c>
      <c r="T54" s="11">
        <f t="shared" si="30"/>
        <v>1.1197364412714468E-3</v>
      </c>
    </row>
    <row r="55" spans="1:20" x14ac:dyDescent="0.35">
      <c r="A55" s="5" t="s">
        <v>24</v>
      </c>
      <c r="B55" s="6">
        <v>744859.73</v>
      </c>
      <c r="C55" s="6">
        <v>703223.81</v>
      </c>
      <c r="D55" s="6">
        <v>687508.14</v>
      </c>
      <c r="E55" s="6">
        <v>658880.4</v>
      </c>
      <c r="F55" s="6">
        <v>628207.67000000004</v>
      </c>
      <c r="H55" s="7">
        <v>589805.23</v>
      </c>
      <c r="I55" s="13">
        <f t="shared" si="19"/>
        <v>7.699649704515503E-2</v>
      </c>
      <c r="J55" s="13">
        <f t="shared" si="20"/>
        <v>6.3057321679708248E-2</v>
      </c>
      <c r="K55" s="13">
        <f t="shared" si="21"/>
        <v>8.6254207841088212E-2</v>
      </c>
      <c r="L55" s="13">
        <f t="shared" si="22"/>
        <v>1</v>
      </c>
      <c r="M55" s="13">
        <f t="shared" si="23"/>
        <v>6.1130167353735207E-2</v>
      </c>
      <c r="N55" s="28">
        <f t="shared" si="24"/>
        <v>0.25748763878393738</v>
      </c>
      <c r="O55" s="29">
        <f t="shared" si="25"/>
        <v>7.4684255823846278E-4</v>
      </c>
      <c r="P55" s="29">
        <f t="shared" si="26"/>
        <v>7.2855775259598771E-4</v>
      </c>
      <c r="Q55" s="29">
        <f t="shared" si="27"/>
        <v>6.9339048817569648E-4</v>
      </c>
      <c r="R55" s="29">
        <f t="shared" si="28"/>
        <v>7.0012389798667295E-4</v>
      </c>
      <c r="S55" s="29">
        <f t="shared" si="29"/>
        <v>7.0288946777647711E-4</v>
      </c>
      <c r="T55" s="11">
        <f t="shared" si="30"/>
        <v>7.1436083295465939E-4</v>
      </c>
    </row>
    <row r="56" spans="1:20" x14ac:dyDescent="0.35">
      <c r="A56" s="5" t="s">
        <v>8</v>
      </c>
      <c r="B56" s="6">
        <v>106701145.55</v>
      </c>
      <c r="C56" s="6">
        <v>99380707.829999998</v>
      </c>
      <c r="D56" s="6">
        <v>103262318.14</v>
      </c>
      <c r="E56" s="6">
        <v>98393741.010000005</v>
      </c>
      <c r="F56" s="6">
        <v>92762018.260000005</v>
      </c>
      <c r="H56" s="30">
        <v>86589002.310000002</v>
      </c>
      <c r="I56" s="13">
        <f t="shared" si="19"/>
        <v>3.222858941461474E-2</v>
      </c>
      <c r="J56" s="13">
        <f t="shared" si="20"/>
        <v>9.9311711654166517E-3</v>
      </c>
      <c r="K56" s="13">
        <f t="shared" si="21"/>
        <v>0.10168568814970819</v>
      </c>
      <c r="L56" s="13">
        <f t="shared" si="22"/>
        <v>1</v>
      </c>
      <c r="M56" s="13">
        <f t="shared" si="23"/>
        <v>6.6546805101823397E-2</v>
      </c>
      <c r="N56" s="28">
        <f t="shared" si="24"/>
        <v>0.2420784507663126</v>
      </c>
      <c r="O56" s="29">
        <f t="shared" si="25"/>
        <v>0.10698518566648323</v>
      </c>
      <c r="P56" s="29">
        <f t="shared" si="26"/>
        <v>0.10296094091015387</v>
      </c>
      <c r="Q56" s="29">
        <f t="shared" si="27"/>
        <v>0.104145834819132</v>
      </c>
      <c r="R56" s="29">
        <f t="shared" si="28"/>
        <v>0.10455282854583679</v>
      </c>
      <c r="S56" s="29">
        <f t="shared" si="29"/>
        <v>0.1037896363867115</v>
      </c>
      <c r="T56" s="11">
        <f t="shared" si="30"/>
        <v>0.10448688526566348</v>
      </c>
    </row>
    <row r="57" spans="1:20" ht="17.5" customHeight="1" x14ac:dyDescent="0.35">
      <c r="A57" s="6" t="s">
        <v>25</v>
      </c>
      <c r="B57" s="6">
        <v>147313381.30000001</v>
      </c>
      <c r="C57" s="6">
        <v>139233050.99000001</v>
      </c>
      <c r="D57" s="6">
        <v>144729667.37</v>
      </c>
      <c r="E57" s="6">
        <v>136581237.15000001</v>
      </c>
      <c r="F57" s="6">
        <v>129133507.05</v>
      </c>
      <c r="H57" s="7">
        <v>121970807</v>
      </c>
      <c r="I57" s="13">
        <f t="shared" si="19"/>
        <v>1.7538895022294942E-2</v>
      </c>
      <c r="J57" s="13">
        <f t="shared" si="20"/>
        <v>1.90458646215435E-2</v>
      </c>
      <c r="K57" s="13">
        <f t="shared" si="21"/>
        <v>0.10776063127491735</v>
      </c>
      <c r="L57" s="13">
        <f t="shared" si="22"/>
        <v>1</v>
      </c>
      <c r="M57" s="13">
        <f t="shared" si="23"/>
        <v>5.5467401247196263E-2</v>
      </c>
      <c r="N57" s="28">
        <f t="shared" si="24"/>
        <v>0.23996255843319042</v>
      </c>
      <c r="O57" s="29">
        <f t="shared" si="25"/>
        <v>0.14770553182254884</v>
      </c>
      <c r="P57" s="29">
        <f t="shared" si="26"/>
        <v>0.14424898200809919</v>
      </c>
      <c r="Q57" s="29">
        <f t="shared" si="27"/>
        <v>0.14596798040993447</v>
      </c>
      <c r="R57" s="29">
        <f t="shared" si="28"/>
        <v>0.14513072197215182</v>
      </c>
      <c r="S57" s="29">
        <f t="shared" si="29"/>
        <v>0.14448499497385067</v>
      </c>
      <c r="T57" s="11">
        <f t="shared" si="30"/>
        <v>0.14550764223731699</v>
      </c>
    </row>
    <row r="58" spans="1:20" x14ac:dyDescent="0.35">
      <c r="A58" s="5" t="s">
        <v>10</v>
      </c>
      <c r="B58" s="6">
        <v>24336428.579999998</v>
      </c>
      <c r="C58" s="6">
        <v>23564630.809999999</v>
      </c>
      <c r="D58" s="6">
        <v>34848585.600000001</v>
      </c>
      <c r="E58" s="6">
        <v>32121009.329999998</v>
      </c>
      <c r="F58" s="6">
        <v>29867333.039999999</v>
      </c>
      <c r="H58" s="30">
        <v>28097071.84</v>
      </c>
      <c r="I58" s="13">
        <f t="shared" si="19"/>
        <v>-0.43195150781651809</v>
      </c>
      <c r="J58" s="13">
        <f t="shared" si="20"/>
        <v>-0.36310259171847387</v>
      </c>
      <c r="K58" s="13">
        <f t="shared" si="21"/>
        <v>0.14293987759434351</v>
      </c>
      <c r="L58" s="13">
        <f t="shared" si="22"/>
        <v>1</v>
      </c>
      <c r="M58" s="13">
        <f t="shared" si="23"/>
        <v>5.9270815965696257E-2</v>
      </c>
      <c r="N58" s="28">
        <f t="shared" si="24"/>
        <v>8.1431318805009575E-2</v>
      </c>
      <c r="O58" s="29">
        <f t="shared" si="25"/>
        <v>2.4401212533096451E-2</v>
      </c>
      <c r="P58" s="29">
        <f t="shared" si="26"/>
        <v>2.4413556849970378E-2</v>
      </c>
      <c r="Q58" s="29">
        <f t="shared" si="27"/>
        <v>3.5146751544522147E-2</v>
      </c>
      <c r="R58" s="29">
        <f t="shared" si="28"/>
        <v>3.4131666778046348E-2</v>
      </c>
      <c r="S58" s="29">
        <f t="shared" si="29"/>
        <v>3.341798393577141E-2</v>
      </c>
      <c r="T58" s="11">
        <f t="shared" si="30"/>
        <v>3.0302234328281347E-2</v>
      </c>
    </row>
    <row r="59" spans="1:20" x14ac:dyDescent="0.35">
      <c r="A59" s="5" t="s">
        <v>11</v>
      </c>
      <c r="B59" s="6">
        <v>32595121.219999999</v>
      </c>
      <c r="C59" s="6">
        <v>30773744.739999998</v>
      </c>
      <c r="D59" s="6">
        <v>33442256.07</v>
      </c>
      <c r="E59" s="6">
        <v>30660788</v>
      </c>
      <c r="F59" s="6">
        <v>28350128.41</v>
      </c>
      <c r="H59" s="7">
        <v>26633473.809999999</v>
      </c>
      <c r="I59" s="13">
        <f t="shared" si="19"/>
        <v>-2.5989621093361944E-2</v>
      </c>
      <c r="J59" s="13">
        <f t="shared" si="20"/>
        <v>3.6705555646328655E-3</v>
      </c>
      <c r="K59" s="13">
        <f t="shared" si="21"/>
        <v>0.15226627202845888</v>
      </c>
      <c r="L59" s="13">
        <f t="shared" si="22"/>
        <v>1</v>
      </c>
      <c r="M59" s="13">
        <f t="shared" si="23"/>
        <v>6.055191620911609E-2</v>
      </c>
      <c r="N59" s="28">
        <f t="shared" si="24"/>
        <v>0.2380998245417692</v>
      </c>
      <c r="O59" s="29">
        <f t="shared" si="25"/>
        <v>3.2681889941932558E-2</v>
      </c>
      <c r="P59" s="29">
        <f t="shared" si="26"/>
        <v>3.1882382234379968E-2</v>
      </c>
      <c r="Q59" s="29">
        <f t="shared" si="27"/>
        <v>3.3728389400704335E-2</v>
      </c>
      <c r="R59" s="29">
        <f t="shared" si="28"/>
        <v>3.2580040945068341E-2</v>
      </c>
      <c r="S59" s="29">
        <f t="shared" si="29"/>
        <v>3.1720412884324832E-2</v>
      </c>
      <c r="T59" s="11">
        <f t="shared" si="30"/>
        <v>3.2518623081282005E-2</v>
      </c>
    </row>
    <row r="60" spans="1:20" x14ac:dyDescent="0.35">
      <c r="A60" s="5" t="s">
        <v>12</v>
      </c>
      <c r="B60" s="6">
        <v>62288935.490000002</v>
      </c>
      <c r="C60" s="6">
        <v>58739211.799999997</v>
      </c>
      <c r="D60" s="6">
        <v>50789278.299999997</v>
      </c>
      <c r="E60" s="6">
        <v>45500915.210000001</v>
      </c>
      <c r="F60" s="6">
        <v>40485502.07</v>
      </c>
      <c r="H60" s="30">
        <v>35742555.909999996</v>
      </c>
      <c r="I60" s="13">
        <f t="shared" si="19"/>
        <v>0.18461797588186724</v>
      </c>
      <c r="J60" s="13">
        <f t="shared" si="20"/>
        <v>0.22537409311985349</v>
      </c>
      <c r="K60" s="13">
        <f t="shared" si="21"/>
        <v>0.2028730585447204</v>
      </c>
      <c r="L60" s="13">
        <f t="shared" si="22"/>
        <v>1</v>
      </c>
      <c r="M60" s="13">
        <f t="shared" si="23"/>
        <v>0.11715171894865929</v>
      </c>
      <c r="N60" s="28">
        <f t="shared" si="24"/>
        <v>0.34600336929902009</v>
      </c>
      <c r="O60" s="29">
        <f t="shared" si="25"/>
        <v>6.2454749609436096E-2</v>
      </c>
      <c r="P60" s="29">
        <f t="shared" si="26"/>
        <v>6.0855317367976655E-2</v>
      </c>
      <c r="Q60" s="29">
        <f t="shared" si="27"/>
        <v>5.1223833472761951E-2</v>
      </c>
      <c r="R60" s="29">
        <f t="shared" si="28"/>
        <v>4.8349105723567279E-2</v>
      </c>
      <c r="S60" s="29">
        <f t="shared" si="29"/>
        <v>4.5298448843589828E-2</v>
      </c>
      <c r="T60" s="11">
        <f t="shared" si="30"/>
        <v>5.3636291003466362E-2</v>
      </c>
    </row>
    <row r="61" spans="1:20" x14ac:dyDescent="0.35">
      <c r="A61" s="5" t="s">
        <v>26</v>
      </c>
      <c r="B61" s="6">
        <v>27545685.600000001</v>
      </c>
      <c r="C61" s="6">
        <v>27106148.949999999</v>
      </c>
      <c r="D61" s="6">
        <v>26533033.039999999</v>
      </c>
      <c r="E61" s="6">
        <v>25635546.800000001</v>
      </c>
      <c r="F61" s="6">
        <v>24749918.390000001</v>
      </c>
      <c r="H61" s="7">
        <v>23533409.640000001</v>
      </c>
      <c r="I61" s="13">
        <f t="shared" si="19"/>
        <v>3.6762655854897373E-2</v>
      </c>
      <c r="J61" s="13">
        <f t="shared" si="20"/>
        <v>5.4253451964448036E-2</v>
      </c>
      <c r="K61" s="13">
        <f t="shared" si="21"/>
        <v>6.720357402456989E-2</v>
      </c>
      <c r="L61" s="13">
        <f t="shared" si="22"/>
        <v>1</v>
      </c>
      <c r="M61" s="13">
        <f t="shared" si="23"/>
        <v>4.9152030759484051E-2</v>
      </c>
      <c r="N61" s="28">
        <f t="shared" si="24"/>
        <v>0.24147434252067987</v>
      </c>
      <c r="O61" s="29">
        <f t="shared" si="25"/>
        <v>2.7619012645423033E-2</v>
      </c>
      <c r="P61" s="29">
        <f t="shared" si="26"/>
        <v>2.8082659716177828E-2</v>
      </c>
      <c r="Q61" s="29">
        <f t="shared" si="27"/>
        <v>2.6760050771744294E-2</v>
      </c>
      <c r="R61" s="29">
        <f t="shared" si="28"/>
        <v>2.7240238065414878E-2</v>
      </c>
      <c r="S61" s="29">
        <f t="shared" si="29"/>
        <v>2.7692207203803072E-2</v>
      </c>
      <c r="T61" s="11">
        <f t="shared" si="30"/>
        <v>2.747883368051262E-2</v>
      </c>
    </row>
    <row r="62" spans="1:20" x14ac:dyDescent="0.35">
      <c r="A62" s="5" t="s">
        <v>14</v>
      </c>
      <c r="B62" s="6">
        <v>19133493.48</v>
      </c>
      <c r="C62" s="6">
        <v>18730350.949999999</v>
      </c>
      <c r="D62" s="6">
        <v>18782400.300000001</v>
      </c>
      <c r="E62" s="6">
        <v>17797501.699999999</v>
      </c>
      <c r="F62" s="6">
        <v>16856963.149999999</v>
      </c>
      <c r="H62" s="30">
        <v>15831477.85</v>
      </c>
      <c r="I62" s="13">
        <f t="shared" si="19"/>
        <v>1.8349664182706258E-2</v>
      </c>
      <c r="J62" s="13">
        <f t="shared" si="20"/>
        <v>4.9804152228124697E-2</v>
      </c>
      <c r="K62" s="13">
        <f t="shared" si="21"/>
        <v>0.10251283750991093</v>
      </c>
      <c r="L62" s="13">
        <f t="shared" si="22"/>
        <v>1</v>
      </c>
      <c r="M62" s="13">
        <f t="shared" si="23"/>
        <v>6.0834522260909074E-2</v>
      </c>
      <c r="N62" s="28">
        <f t="shared" si="24"/>
        <v>0.24630023523633016</v>
      </c>
      <c r="O62" s="29">
        <f t="shared" si="25"/>
        <v>1.9184427138572987E-2</v>
      </c>
      <c r="P62" s="29">
        <f t="shared" si="26"/>
        <v>1.9405119962400196E-2</v>
      </c>
      <c r="Q62" s="29">
        <f t="shared" si="27"/>
        <v>1.8943103296389114E-2</v>
      </c>
      <c r="R62" s="29">
        <f t="shared" si="28"/>
        <v>1.8911560071643407E-2</v>
      </c>
      <c r="S62" s="29">
        <f t="shared" si="29"/>
        <v>1.886093154009276E-2</v>
      </c>
      <c r="T62" s="11">
        <f t="shared" si="30"/>
        <v>1.9061028401819693E-2</v>
      </c>
    </row>
    <row r="63" spans="1:20" x14ac:dyDescent="0.35">
      <c r="A63" s="5" t="s">
        <v>27</v>
      </c>
      <c r="B63" s="6">
        <v>3816620.67</v>
      </c>
      <c r="C63" s="6">
        <v>3702916.29</v>
      </c>
      <c r="D63" s="6">
        <v>3989822.45</v>
      </c>
      <c r="E63" s="6">
        <v>3609297.92</v>
      </c>
      <c r="F63" s="6">
        <v>3296655.45</v>
      </c>
      <c r="H63" s="7">
        <v>3032330.2</v>
      </c>
      <c r="I63" s="13">
        <f t="shared" si="19"/>
        <v>-4.5380925948818554E-2</v>
      </c>
      <c r="J63" s="13">
        <f t="shared" si="20"/>
        <v>2.5282334967394068E-2</v>
      </c>
      <c r="K63" s="13">
        <f t="shared" si="21"/>
        <v>0.17373379609912215</v>
      </c>
      <c r="L63" s="13">
        <f t="shared" si="22"/>
        <v>1</v>
      </c>
      <c r="M63" s="13">
        <f t="shared" si="23"/>
        <v>8.0179822856525695E-2</v>
      </c>
      <c r="N63" s="28">
        <f t="shared" si="24"/>
        <v>0.24676300559484465</v>
      </c>
      <c r="O63" s="29">
        <f t="shared" si="25"/>
        <v>3.8267805738519331E-3</v>
      </c>
      <c r="P63" s="29">
        <f t="shared" si="26"/>
        <v>3.8363154545257398E-3</v>
      </c>
      <c r="Q63" s="29">
        <f t="shared" si="27"/>
        <v>4.0239595364497845E-3</v>
      </c>
      <c r="R63" s="29">
        <f t="shared" si="28"/>
        <v>3.8352267403091527E-3</v>
      </c>
      <c r="S63" s="29">
        <f t="shared" si="29"/>
        <v>3.6885643161487071E-3</v>
      </c>
      <c r="T63" s="11">
        <f t="shared" si="30"/>
        <v>3.8421693242570638E-3</v>
      </c>
    </row>
    <row r="64" spans="1:20" ht="31" x14ac:dyDescent="0.35">
      <c r="A64" s="5" t="s">
        <v>16</v>
      </c>
      <c r="B64" s="6">
        <v>24528678.489999998</v>
      </c>
      <c r="C64" s="6">
        <v>24687072.420000002</v>
      </c>
      <c r="D64" s="6">
        <v>25033502.309999999</v>
      </c>
      <c r="E64" s="6">
        <v>24137857.84</v>
      </c>
      <c r="F64" s="6">
        <v>23304537.350000001</v>
      </c>
      <c r="H64" s="30">
        <v>22720443.649999999</v>
      </c>
      <c r="I64" s="13">
        <f t="shared" si="19"/>
        <v>-2.0580962818922754E-2</v>
      </c>
      <c r="J64" s="13">
        <f t="shared" si="20"/>
        <v>2.2247051843824982E-2</v>
      </c>
      <c r="K64" s="13">
        <f t="shared" si="21"/>
        <v>6.9066043519980691E-2</v>
      </c>
      <c r="L64" s="13">
        <f t="shared" si="22"/>
        <v>1</v>
      </c>
      <c r="M64" s="13">
        <f t="shared" si="23"/>
        <v>2.5063518371026702E-2</v>
      </c>
      <c r="N64" s="28">
        <f t="shared" si="24"/>
        <v>0.21915913018318189</v>
      </c>
      <c r="O64" s="29">
        <f t="shared" si="25"/>
        <v>2.459397421536046E-2</v>
      </c>
      <c r="P64" s="29">
        <f t="shared" si="26"/>
        <v>2.557643490553824E-2</v>
      </c>
      <c r="Q64" s="29">
        <f t="shared" si="27"/>
        <v>2.5247689994591666E-2</v>
      </c>
      <c r="R64" s="29">
        <f t="shared" si="28"/>
        <v>2.5648799266132328E-2</v>
      </c>
      <c r="S64" s="29">
        <f t="shared" si="29"/>
        <v>2.6074998184467457E-2</v>
      </c>
      <c r="T64" s="11">
        <f t="shared" si="30"/>
        <v>2.5428379313218029E-2</v>
      </c>
    </row>
    <row r="65" spans="1:20" x14ac:dyDescent="0.35">
      <c r="A65" s="5" t="s">
        <v>17</v>
      </c>
      <c r="B65" s="6">
        <v>38974994.18</v>
      </c>
      <c r="C65" s="6">
        <v>38948070.880000003</v>
      </c>
      <c r="D65" s="6">
        <v>39040754.780000001</v>
      </c>
      <c r="E65" s="6">
        <v>36286321.689999998</v>
      </c>
      <c r="F65" s="6">
        <v>33674587.450000003</v>
      </c>
      <c r="H65" s="7">
        <v>31479474.129999999</v>
      </c>
      <c r="I65" s="13">
        <f t="shared" si="19"/>
        <v>-1.6872510537473413E-3</v>
      </c>
      <c r="J65" s="13">
        <f t="shared" si="20"/>
        <v>6.834097632719531E-2</v>
      </c>
      <c r="K65" s="13">
        <f t="shared" si="21"/>
        <v>0.13745039921075006</v>
      </c>
      <c r="L65" s="13">
        <f t="shared" si="22"/>
        <v>1</v>
      </c>
      <c r="M65" s="13">
        <f t="shared" si="23"/>
        <v>6.5186049369106783E-2</v>
      </c>
      <c r="N65" s="28">
        <f t="shared" si="24"/>
        <v>0.25385803477066099</v>
      </c>
      <c r="O65" s="29">
        <f t="shared" si="25"/>
        <v>3.9078746223427059E-2</v>
      </c>
      <c r="P65" s="29">
        <f t="shared" si="26"/>
        <v>4.0351192017064996E-2</v>
      </c>
      <c r="Q65" s="29">
        <f t="shared" si="27"/>
        <v>3.9374789097990692E-2</v>
      </c>
      <c r="R65" s="29">
        <f t="shared" si="28"/>
        <v>3.8557712424289986E-2</v>
      </c>
      <c r="S65" s="29">
        <f t="shared" si="29"/>
        <v>3.7677847598267838E-2</v>
      </c>
      <c r="T65" s="11">
        <f t="shared" si="30"/>
        <v>3.9008057472208112E-2</v>
      </c>
    </row>
    <row r="66" spans="1:20" x14ac:dyDescent="0.35">
      <c r="A66" s="5" t="s">
        <v>18</v>
      </c>
      <c r="B66" s="6">
        <v>9471683.8900000006</v>
      </c>
      <c r="C66" s="6">
        <v>9454459</v>
      </c>
      <c r="D66" s="6">
        <v>8738367.7799999993</v>
      </c>
      <c r="E66" s="6">
        <v>8187908.7999999998</v>
      </c>
      <c r="F66" s="6">
        <v>7525669.8700000001</v>
      </c>
      <c r="H66" s="30">
        <v>6929495.9199999999</v>
      </c>
      <c r="I66" s="13">
        <f t="shared" si="19"/>
        <v>7.742193663939953E-2</v>
      </c>
      <c r="J66" s="13">
        <f t="shared" si="20"/>
        <v>0.13396326537562861</v>
      </c>
      <c r="K66" s="13">
        <f t="shared" si="21"/>
        <v>0.13877853857050629</v>
      </c>
      <c r="L66" s="13">
        <f t="shared" si="22"/>
        <v>1</v>
      </c>
      <c r="M66" s="13">
        <f t="shared" si="23"/>
        <v>7.9218722093638713E-2</v>
      </c>
      <c r="N66" s="28">
        <f t="shared" si="24"/>
        <v>0.28587649253583464</v>
      </c>
      <c r="O66" s="29">
        <f t="shared" si="25"/>
        <v>9.4968976604945937E-3</v>
      </c>
      <c r="P66" s="29">
        <f t="shared" si="26"/>
        <v>9.7950599838917702E-3</v>
      </c>
      <c r="Q66" s="29">
        <f t="shared" si="27"/>
        <v>8.8131336173459373E-3</v>
      </c>
      <c r="R66" s="29">
        <f t="shared" si="28"/>
        <v>8.7004418790047194E-3</v>
      </c>
      <c r="S66" s="29">
        <f t="shared" si="29"/>
        <v>8.4203271341557629E-3</v>
      </c>
      <c r="T66" s="11">
        <f t="shared" si="30"/>
        <v>9.0451720549785571E-3</v>
      </c>
    </row>
    <row r="67" spans="1:20" x14ac:dyDescent="0.35">
      <c r="A67" s="5" t="s">
        <v>28</v>
      </c>
      <c r="B67" s="6">
        <v>16068569.16</v>
      </c>
      <c r="C67" s="6">
        <v>15984262.59</v>
      </c>
      <c r="D67" s="6">
        <v>17375656.640000001</v>
      </c>
      <c r="E67" s="6">
        <v>15937473.33</v>
      </c>
      <c r="F67" s="6">
        <v>14561838.300000001</v>
      </c>
      <c r="H67" s="7">
        <v>13362350.970000001</v>
      </c>
      <c r="I67" s="13">
        <f t="shared" si="19"/>
        <v>-8.1344360346269962E-2</v>
      </c>
      <c r="J67" s="13">
        <f t="shared" si="20"/>
        <v>2.9272079169465007E-3</v>
      </c>
      <c r="K67" s="13">
        <f t="shared" si="21"/>
        <v>0.16194025919701874</v>
      </c>
      <c r="L67" s="13">
        <f t="shared" si="22"/>
        <v>1</v>
      </c>
      <c r="M67" s="13">
        <f t="shared" si="23"/>
        <v>8.2371971538785727E-2</v>
      </c>
      <c r="N67" s="28">
        <f t="shared" si="24"/>
        <v>0.23317901566129623</v>
      </c>
      <c r="O67" s="29">
        <f t="shared" si="25"/>
        <v>1.6111343942148769E-2</v>
      </c>
      <c r="P67" s="29">
        <f t="shared" si="26"/>
        <v>1.6560102578828385E-2</v>
      </c>
      <c r="Q67" s="29">
        <f t="shared" si="27"/>
        <v>1.7524323479257836E-2</v>
      </c>
      <c r="R67" s="29">
        <f t="shared" si="28"/>
        <v>1.6935100743409943E-2</v>
      </c>
      <c r="S67" s="29">
        <f t="shared" si="29"/>
        <v>1.6292960530924622E-2</v>
      </c>
      <c r="T67" s="11">
        <f t="shared" si="30"/>
        <v>1.668476625491391E-2</v>
      </c>
    </row>
    <row r="68" spans="1:20" x14ac:dyDescent="0.35">
      <c r="A68" s="31" t="s">
        <v>29</v>
      </c>
      <c r="B68" s="32">
        <v>997345051.88999999</v>
      </c>
      <c r="C68" s="32">
        <v>965227269.21000004</v>
      </c>
      <c r="D68" s="32">
        <v>991516543.30999994</v>
      </c>
      <c r="E68" s="32">
        <v>941091143.86000001</v>
      </c>
      <c r="F68" s="32">
        <v>893750296.16999996</v>
      </c>
      <c r="G68" s="33"/>
      <c r="H68" s="34">
        <v>849099354.69000006</v>
      </c>
      <c r="I68" s="6"/>
      <c r="J68" s="6"/>
      <c r="K68" s="6"/>
      <c r="L68" s="6"/>
      <c r="M68" s="6"/>
      <c r="N68" s="6"/>
      <c r="O68" s="29">
        <f t="shared" si="25"/>
        <v>1</v>
      </c>
      <c r="P68" s="29">
        <f t="shared" si="26"/>
        <v>1</v>
      </c>
      <c r="Q68" s="29">
        <f t="shared" si="27"/>
        <v>1</v>
      </c>
      <c r="R68" s="29">
        <f t="shared" si="28"/>
        <v>1</v>
      </c>
      <c r="S68" s="29">
        <f t="shared" si="29"/>
        <v>1</v>
      </c>
      <c r="T68" s="11">
        <f t="shared" si="30"/>
        <v>1</v>
      </c>
    </row>
    <row r="70" spans="1:20" ht="16" thickBot="1" x14ac:dyDescent="0.4"/>
    <row r="71" spans="1:20" ht="29.15" customHeight="1" x14ac:dyDescent="0.35">
      <c r="B71" s="109" t="s">
        <v>39</v>
      </c>
      <c r="C71" s="110"/>
      <c r="D71" s="110"/>
      <c r="E71" s="110"/>
      <c r="F71" s="111"/>
    </row>
    <row r="72" spans="1:20" x14ac:dyDescent="0.35">
      <c r="B72" s="103" t="s">
        <v>46</v>
      </c>
      <c r="C72" s="104"/>
      <c r="D72" s="104"/>
      <c r="E72" s="104"/>
      <c r="F72" s="105"/>
    </row>
    <row r="73" spans="1:20" x14ac:dyDescent="0.35">
      <c r="B73" s="103" t="s">
        <v>49</v>
      </c>
      <c r="C73" s="104"/>
      <c r="D73" s="104"/>
      <c r="E73" s="104"/>
      <c r="F73" s="105"/>
    </row>
    <row r="74" spans="1:20" x14ac:dyDescent="0.35">
      <c r="B74" s="103" t="s">
        <v>47</v>
      </c>
      <c r="C74" s="104"/>
      <c r="D74" s="104"/>
      <c r="E74" s="104"/>
      <c r="F74" s="105"/>
    </row>
    <row r="75" spans="1:20" ht="16" thickBot="1" x14ac:dyDescent="0.4">
      <c r="B75" s="106" t="s">
        <v>48</v>
      </c>
      <c r="C75" s="107"/>
      <c r="D75" s="107"/>
      <c r="E75" s="107"/>
      <c r="F75" s="108"/>
    </row>
    <row r="86" spans="4:11" ht="37" customHeight="1" x14ac:dyDescent="0.35"/>
    <row r="96" spans="4:11" x14ac:dyDescent="0.35">
      <c r="D96" s="100" t="s">
        <v>50</v>
      </c>
      <c r="E96" s="114" t="s">
        <v>51</v>
      </c>
      <c r="F96" s="114"/>
      <c r="I96" s="100" t="s">
        <v>50</v>
      </c>
      <c r="J96" s="114" t="s">
        <v>51</v>
      </c>
      <c r="K96" s="114"/>
    </row>
    <row r="97" spans="4:11" ht="31" customHeight="1" x14ac:dyDescent="0.35">
      <c r="D97" s="101"/>
      <c r="E97" s="112" t="s">
        <v>44</v>
      </c>
      <c r="F97" s="112" t="s">
        <v>42</v>
      </c>
      <c r="I97" s="101"/>
      <c r="J97" s="112" t="s">
        <v>44</v>
      </c>
      <c r="K97" s="112" t="s">
        <v>42</v>
      </c>
    </row>
    <row r="98" spans="4:11" ht="43" customHeight="1" x14ac:dyDescent="0.35">
      <c r="D98" s="102"/>
      <c r="E98" s="113"/>
      <c r="F98" s="113"/>
      <c r="I98" s="102"/>
      <c r="J98" s="113"/>
      <c r="K98" s="113"/>
    </row>
    <row r="99" spans="4:11" ht="134.15" customHeight="1" x14ac:dyDescent="0.35">
      <c r="D99" s="21" t="s">
        <v>43</v>
      </c>
      <c r="E99" s="35" t="s">
        <v>102</v>
      </c>
      <c r="F99" s="35" t="s">
        <v>103</v>
      </c>
      <c r="I99" s="21" t="s">
        <v>43</v>
      </c>
      <c r="J99" s="35"/>
      <c r="K99" s="35" t="s">
        <v>41</v>
      </c>
    </row>
    <row r="100" spans="4:11" ht="372" x14ac:dyDescent="0.35">
      <c r="D100" s="21" t="s">
        <v>45</v>
      </c>
      <c r="E100" s="35" t="s">
        <v>53</v>
      </c>
      <c r="F100" s="35" t="s">
        <v>52</v>
      </c>
      <c r="I100" s="21" t="s">
        <v>45</v>
      </c>
      <c r="J100" s="35"/>
      <c r="K100" s="35" t="s">
        <v>40</v>
      </c>
    </row>
  </sheetData>
  <mergeCells count="29">
    <mergeCell ref="D96:D98"/>
    <mergeCell ref="B73:F73"/>
    <mergeCell ref="B74:F74"/>
    <mergeCell ref="B75:F75"/>
    <mergeCell ref="T48:T50"/>
    <mergeCell ref="B71:F71"/>
    <mergeCell ref="B72:F72"/>
    <mergeCell ref="E97:E98"/>
    <mergeCell ref="F97:F98"/>
    <mergeCell ref="J97:J98"/>
    <mergeCell ref="K97:K98"/>
    <mergeCell ref="I96:I98"/>
    <mergeCell ref="J96:K96"/>
    <mergeCell ref="E96:F96"/>
    <mergeCell ref="T1:T3"/>
    <mergeCell ref="B1:H1"/>
    <mergeCell ref="B2:H2"/>
    <mergeCell ref="A48:A50"/>
    <mergeCell ref="B48:H49"/>
    <mergeCell ref="I48:M49"/>
    <mergeCell ref="A26:A28"/>
    <mergeCell ref="B26:G27"/>
    <mergeCell ref="H26:H28"/>
    <mergeCell ref="A1:A3"/>
    <mergeCell ref="I1:M2"/>
    <mergeCell ref="N1:N3"/>
    <mergeCell ref="O1:S2"/>
    <mergeCell ref="N48:N50"/>
    <mergeCell ref="O48:S4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B02D-A14D-400F-B000-2A369CC7B0AB}">
  <dimension ref="A1:AB52"/>
  <sheetViews>
    <sheetView zoomScale="62" zoomScaleNormal="62" workbookViewId="0">
      <selection activeCell="P26" sqref="P26"/>
    </sheetView>
  </sheetViews>
  <sheetFormatPr defaultRowHeight="14.5" x14ac:dyDescent="0.35"/>
  <cols>
    <col min="1" max="1" width="67.81640625" bestFit="1" customWidth="1"/>
    <col min="2" max="2" width="16.1796875" customWidth="1"/>
    <col min="3" max="3" width="18.36328125" customWidth="1"/>
    <col min="4" max="4" width="9.453125" customWidth="1"/>
    <col min="5" max="5" width="12.54296875" customWidth="1"/>
    <col min="6" max="6" width="8.1796875" customWidth="1"/>
    <col min="8" max="8" width="8.54296875" bestFit="1" customWidth="1"/>
    <col min="15" max="15" width="4.36328125" customWidth="1"/>
    <col min="16" max="16" width="36.54296875" customWidth="1"/>
  </cols>
  <sheetData>
    <row r="1" spans="1:28" ht="15" customHeight="1" x14ac:dyDescent="0.35">
      <c r="A1" s="115" t="s">
        <v>0</v>
      </c>
      <c r="B1" s="117" t="s">
        <v>97</v>
      </c>
      <c r="C1" s="117"/>
      <c r="D1" s="117"/>
      <c r="E1" s="117"/>
      <c r="F1" s="117"/>
      <c r="G1" s="116" t="s">
        <v>56</v>
      </c>
      <c r="H1" s="117" t="s">
        <v>57</v>
      </c>
      <c r="I1" s="117"/>
      <c r="J1" s="117"/>
      <c r="K1" s="117"/>
      <c r="L1" s="117"/>
      <c r="M1" s="116" t="s">
        <v>56</v>
      </c>
      <c r="O1" s="123" t="s">
        <v>0</v>
      </c>
      <c r="P1" s="123"/>
      <c r="Q1" s="120" t="s">
        <v>96</v>
      </c>
      <c r="R1" s="121"/>
      <c r="S1" s="121"/>
      <c r="T1" s="121"/>
      <c r="U1" s="122"/>
      <c r="V1" s="118" t="s">
        <v>58</v>
      </c>
      <c r="W1" s="120" t="s">
        <v>59</v>
      </c>
      <c r="X1" s="121"/>
      <c r="Y1" s="121"/>
      <c r="Z1" s="121"/>
      <c r="AA1" s="122"/>
      <c r="AB1" s="118" t="s">
        <v>60</v>
      </c>
    </row>
    <row r="2" spans="1:28" x14ac:dyDescent="0.35">
      <c r="A2" s="115"/>
      <c r="B2" s="41">
        <v>2017</v>
      </c>
      <c r="C2" s="41">
        <v>2018</v>
      </c>
      <c r="D2" s="41">
        <v>2019</v>
      </c>
      <c r="E2" s="41">
        <v>2020</v>
      </c>
      <c r="F2" s="38" t="s">
        <v>55</v>
      </c>
      <c r="G2" s="116"/>
      <c r="H2" s="40">
        <v>2017</v>
      </c>
      <c r="I2" s="40">
        <v>2018</v>
      </c>
      <c r="J2" s="40">
        <v>2019</v>
      </c>
      <c r="K2" s="40">
        <v>2020</v>
      </c>
      <c r="L2" s="40">
        <v>2021</v>
      </c>
      <c r="M2" s="116"/>
      <c r="O2" s="123"/>
      <c r="P2" s="123"/>
      <c r="Q2" s="37">
        <v>2017</v>
      </c>
      <c r="R2" s="37">
        <v>2018</v>
      </c>
      <c r="S2" s="37">
        <v>2019</v>
      </c>
      <c r="T2" s="37">
        <v>2020</v>
      </c>
      <c r="U2" s="37">
        <v>2021</v>
      </c>
      <c r="V2" s="119"/>
      <c r="W2" s="37">
        <v>2017</v>
      </c>
      <c r="X2" s="37">
        <v>2018</v>
      </c>
      <c r="Y2" s="37">
        <v>2019</v>
      </c>
      <c r="Z2" s="37">
        <v>2020</v>
      </c>
      <c r="AA2" s="37">
        <v>2021</v>
      </c>
      <c r="AB2" s="119"/>
    </row>
    <row r="3" spans="1:28" x14ac:dyDescent="0.35">
      <c r="A3" t="s">
        <v>3</v>
      </c>
      <c r="B3" s="39">
        <v>2</v>
      </c>
      <c r="C3" s="39">
        <v>0.86</v>
      </c>
      <c r="D3" s="39">
        <v>5.17</v>
      </c>
      <c r="E3" s="39">
        <v>0.74</v>
      </c>
      <c r="F3" s="39">
        <v>0.38</v>
      </c>
      <c r="G3" s="39">
        <f>AVERAGE(B3:F3)</f>
        <v>1.83</v>
      </c>
      <c r="H3" s="39">
        <v>1.86</v>
      </c>
      <c r="I3" s="39">
        <v>1.8</v>
      </c>
      <c r="J3" s="39">
        <v>1.81</v>
      </c>
      <c r="K3" s="39">
        <v>1.86</v>
      </c>
      <c r="L3" s="39">
        <v>1.81</v>
      </c>
      <c r="M3" s="39">
        <f>AVERAGE(H3:L3)</f>
        <v>1.8280000000000001</v>
      </c>
      <c r="O3" s="38" t="s">
        <v>61</v>
      </c>
      <c r="P3" s="38" t="s">
        <v>62</v>
      </c>
      <c r="Q3" s="39">
        <v>1.8215722625775328</v>
      </c>
      <c r="R3" s="39">
        <v>2.6207698923742697</v>
      </c>
      <c r="S3" s="39">
        <v>1.312615810706447</v>
      </c>
      <c r="T3" s="39">
        <v>2.4049825675735121</v>
      </c>
      <c r="U3" s="39">
        <v>0.77502219840792463</v>
      </c>
      <c r="V3" s="39">
        <f t="shared" ref="V3:V20" si="0">AVERAGE(Q3:U3)</f>
        <v>1.7869925463279372</v>
      </c>
      <c r="W3" s="39">
        <v>13.253161683704734</v>
      </c>
      <c r="X3" s="39">
        <v>12.916334303331078</v>
      </c>
      <c r="Y3" s="39">
        <v>12.420369823471203</v>
      </c>
      <c r="Z3" s="39">
        <v>13.065498884342281</v>
      </c>
      <c r="AA3" s="39">
        <v>12.742746551874106</v>
      </c>
      <c r="AB3" s="39">
        <f t="shared" ref="AB3:AB20" si="1">AVERAGE(W3:AA3)</f>
        <v>12.879622249344681</v>
      </c>
    </row>
    <row r="4" spans="1:28" x14ac:dyDescent="0.35">
      <c r="A4" t="s">
        <v>4</v>
      </c>
      <c r="B4" s="39" t="s">
        <v>54</v>
      </c>
      <c r="C4" s="39" t="s">
        <v>54</v>
      </c>
      <c r="D4" s="39" t="s">
        <v>54</v>
      </c>
      <c r="E4" s="39" t="s">
        <v>54</v>
      </c>
      <c r="F4" s="39" t="s">
        <v>54</v>
      </c>
      <c r="G4" s="39"/>
      <c r="H4" s="39" t="s">
        <v>54</v>
      </c>
      <c r="I4" s="39" t="s">
        <v>54</v>
      </c>
      <c r="J4" s="39" t="s">
        <v>54</v>
      </c>
      <c r="K4" s="39" t="s">
        <v>54</v>
      </c>
      <c r="L4" s="39" t="s">
        <v>54</v>
      </c>
      <c r="M4" s="39"/>
      <c r="O4" s="38" t="s">
        <v>63</v>
      </c>
      <c r="P4" s="38" t="s">
        <v>64</v>
      </c>
      <c r="Q4" s="39">
        <v>5.1058781776958142</v>
      </c>
      <c r="R4" s="39">
        <v>2.4537577368582788</v>
      </c>
      <c r="S4" s="39">
        <v>3.3617853750038051</v>
      </c>
      <c r="T4" s="39">
        <v>-0.79717414806029296</v>
      </c>
      <c r="U4" s="39">
        <v>4.3997231697945978</v>
      </c>
      <c r="V4" s="39">
        <f t="shared" si="0"/>
        <v>2.9047940622584405</v>
      </c>
      <c r="W4" s="39">
        <v>2.2776477084521161</v>
      </c>
      <c r="X4" s="39">
        <v>2.2161489942894002</v>
      </c>
      <c r="Y4" s="39">
        <v>2.1741558842816122</v>
      </c>
      <c r="Z4" s="39">
        <v>2.215568105271517</v>
      </c>
      <c r="AA4" s="39">
        <v>2.2385592676968944</v>
      </c>
      <c r="AB4" s="39">
        <f t="shared" si="1"/>
        <v>2.224415991998308</v>
      </c>
    </row>
    <row r="5" spans="1:28" x14ac:dyDescent="0.35">
      <c r="A5" t="s">
        <v>5</v>
      </c>
      <c r="B5" s="39">
        <v>4.3600000000000003</v>
      </c>
      <c r="C5" s="39">
        <v>3.48</v>
      </c>
      <c r="D5" s="39">
        <v>4.53</v>
      </c>
      <c r="E5" s="39">
        <v>-0.21</v>
      </c>
      <c r="F5" s="39">
        <v>4.6900000000000004</v>
      </c>
      <c r="G5" s="39">
        <f t="shared" ref="G5:G19" si="2">AVERAGE(B5:F5)</f>
        <v>3.37</v>
      </c>
      <c r="H5" s="39">
        <v>16.059999999999999</v>
      </c>
      <c r="I5" s="39">
        <v>15.82</v>
      </c>
      <c r="J5" s="39">
        <v>15.62</v>
      </c>
      <c r="K5" s="39">
        <v>16.13</v>
      </c>
      <c r="L5" s="39">
        <v>16.600000000000001</v>
      </c>
      <c r="M5" s="39">
        <f t="shared" ref="M5:M19" si="3">AVERAGE(H5:L5)</f>
        <v>16.045999999999999</v>
      </c>
      <c r="O5" s="38" t="s">
        <v>65</v>
      </c>
      <c r="P5" s="38" t="s">
        <v>66</v>
      </c>
      <c r="Q5" s="39">
        <v>4.3280677245049191</v>
      </c>
      <c r="R5" s="39">
        <v>4.3310735399643363</v>
      </c>
      <c r="S5" s="39">
        <v>5.0684575978168027</v>
      </c>
      <c r="T5" s="39">
        <v>-3.7974651057178335</v>
      </c>
      <c r="U5" s="39">
        <v>2.3407708003638561</v>
      </c>
      <c r="V5" s="39">
        <f t="shared" si="0"/>
        <v>2.4541809113864161</v>
      </c>
      <c r="W5" s="39">
        <v>34.547705687279453</v>
      </c>
      <c r="X5" s="39">
        <v>34.230827628309207</v>
      </c>
      <c r="Y5" s="39">
        <v>34.136695497795266</v>
      </c>
      <c r="Z5" s="39">
        <v>33.734818327967979</v>
      </c>
      <c r="AA5" s="39">
        <v>33.412671805861024</v>
      </c>
      <c r="AB5" s="39">
        <f t="shared" si="1"/>
        <v>34.012543789442589</v>
      </c>
    </row>
    <row r="6" spans="1:28" x14ac:dyDescent="0.35">
      <c r="A6" t="s">
        <v>6</v>
      </c>
      <c r="B6" s="39">
        <v>4.2</v>
      </c>
      <c r="C6" s="39">
        <v>6.35</v>
      </c>
      <c r="D6" s="39">
        <v>5.82</v>
      </c>
      <c r="E6" s="39">
        <v>1.8</v>
      </c>
      <c r="F6" s="39">
        <v>9.73</v>
      </c>
      <c r="G6" s="39">
        <f t="shared" si="2"/>
        <v>5.58</v>
      </c>
      <c r="H6" s="39">
        <v>0.28999999999999998</v>
      </c>
      <c r="I6" s="39">
        <v>0.3</v>
      </c>
      <c r="J6" s="39">
        <v>0.28999999999999998</v>
      </c>
      <c r="K6" s="39">
        <v>0.3</v>
      </c>
      <c r="L6" s="39">
        <v>0.31</v>
      </c>
      <c r="M6" s="39">
        <f t="shared" si="3"/>
        <v>0.29799999999999999</v>
      </c>
      <c r="O6" s="38" t="s">
        <v>67</v>
      </c>
      <c r="P6" s="38" t="s">
        <v>68</v>
      </c>
      <c r="Q6" s="39">
        <v>5.2199603041074738</v>
      </c>
      <c r="R6" s="39">
        <v>5.3621643649462527</v>
      </c>
      <c r="S6" s="39">
        <v>5.4771305027409198</v>
      </c>
      <c r="T6" s="39">
        <v>1.7925859312847905</v>
      </c>
      <c r="U6" s="39">
        <v>5.9549989019004954</v>
      </c>
      <c r="V6" s="39">
        <f t="shared" si="0"/>
        <v>4.7613680009959864</v>
      </c>
      <c r="W6" s="39">
        <v>0.1092646205752138</v>
      </c>
      <c r="X6" s="39">
        <v>0.10933236878415097</v>
      </c>
      <c r="Y6" s="39">
        <v>0.1094558015519351</v>
      </c>
      <c r="Z6" s="39">
        <v>0.11445250825789191</v>
      </c>
      <c r="AA6" s="39">
        <v>0.11736292146653164</v>
      </c>
      <c r="AB6" s="39">
        <f t="shared" si="1"/>
        <v>0.11197364412714468</v>
      </c>
    </row>
    <row r="7" spans="1:28" x14ac:dyDescent="0.35">
      <c r="A7" t="s">
        <v>7</v>
      </c>
      <c r="B7" s="39">
        <v>4.58</v>
      </c>
      <c r="C7" s="39">
        <v>4.1399999999999997</v>
      </c>
      <c r="D7" s="39">
        <v>4.03</v>
      </c>
      <c r="E7" s="39">
        <v>-0.47</v>
      </c>
      <c r="F7" s="39">
        <v>0.2</v>
      </c>
      <c r="G7" s="39">
        <f t="shared" si="2"/>
        <v>2.4959999999999996</v>
      </c>
      <c r="H7" s="39">
        <v>0.12</v>
      </c>
      <c r="I7" s="39">
        <v>0.12</v>
      </c>
      <c r="J7" s="39">
        <v>0.12</v>
      </c>
      <c r="K7" s="39">
        <v>0.13</v>
      </c>
      <c r="L7" s="39">
        <v>0.12</v>
      </c>
      <c r="M7" s="39">
        <f t="shared" si="3"/>
        <v>0.122</v>
      </c>
      <c r="O7" s="38" t="s">
        <v>69</v>
      </c>
      <c r="P7" s="38" t="s">
        <v>70</v>
      </c>
      <c r="Q7" s="39">
        <v>6.5110375504808786</v>
      </c>
      <c r="R7" s="39">
        <v>4.8825780812259012</v>
      </c>
      <c r="S7" s="39">
        <v>4.3449069057146232</v>
      </c>
      <c r="T7" s="39">
        <v>2.2858885714429675</v>
      </c>
      <c r="U7" s="39">
        <v>5.9207210290561676</v>
      </c>
      <c r="V7" s="39">
        <f t="shared" si="0"/>
        <v>4.7890264275841075</v>
      </c>
      <c r="W7" s="39">
        <v>7.0288946777647715E-2</v>
      </c>
      <c r="X7" s="39">
        <v>7.0012389798667279E-2</v>
      </c>
      <c r="Y7" s="39">
        <v>6.9339048817569665E-2</v>
      </c>
      <c r="Z7" s="39">
        <v>7.2855775259598785E-2</v>
      </c>
      <c r="AA7" s="39">
        <v>7.4684255823846274E-2</v>
      </c>
      <c r="AB7" s="39">
        <f t="shared" si="1"/>
        <v>7.1436083295465941E-2</v>
      </c>
    </row>
    <row r="8" spans="1:28" x14ac:dyDescent="0.35">
      <c r="A8" t="s">
        <v>8</v>
      </c>
      <c r="B8" s="39">
        <v>4.93</v>
      </c>
      <c r="C8" s="39">
        <v>5.0999999999999996</v>
      </c>
      <c r="D8" s="39">
        <v>4.04</v>
      </c>
      <c r="E8" s="39">
        <v>-1.9</v>
      </c>
      <c r="F8" s="39">
        <v>3.23</v>
      </c>
      <c r="G8" s="39">
        <f t="shared" si="2"/>
        <v>3.08</v>
      </c>
      <c r="H8" s="39">
        <v>16.510000000000002</v>
      </c>
      <c r="I8" s="39">
        <v>16.79</v>
      </c>
      <c r="J8" s="39">
        <v>16.760000000000002</v>
      </c>
      <c r="K8" s="39">
        <v>16.68</v>
      </c>
      <c r="L8" s="39">
        <v>16.86</v>
      </c>
      <c r="M8" s="39">
        <f t="shared" si="3"/>
        <v>16.720000000000002</v>
      </c>
      <c r="O8" s="38" t="s">
        <v>71</v>
      </c>
      <c r="P8" s="38" t="s">
        <v>72</v>
      </c>
      <c r="Q8" s="39">
        <v>7.1290992912700091</v>
      </c>
      <c r="R8" s="39">
        <v>6.0711515937643838</v>
      </c>
      <c r="S8" s="39">
        <v>4.948055719830009</v>
      </c>
      <c r="T8" s="39">
        <v>-3.7589804101990296</v>
      </c>
      <c r="U8" s="39">
        <v>7.3660551226122095</v>
      </c>
      <c r="V8" s="39">
        <f t="shared" si="0"/>
        <v>4.351076263455516</v>
      </c>
      <c r="W8" s="39">
        <v>10.37896363867115</v>
      </c>
      <c r="X8" s="39">
        <v>10.455282854583677</v>
      </c>
      <c r="Y8" s="39">
        <v>10.414583481913203</v>
      </c>
      <c r="Z8" s="39">
        <v>10.296094091015389</v>
      </c>
      <c r="AA8" s="39">
        <v>10.698518566648321</v>
      </c>
      <c r="AB8" s="39">
        <f t="shared" si="1"/>
        <v>10.448688526566349</v>
      </c>
    </row>
    <row r="9" spans="1:28" x14ac:dyDescent="0.35">
      <c r="A9" t="s">
        <v>9</v>
      </c>
      <c r="B9" s="39">
        <v>5.32</v>
      </c>
      <c r="C9" s="39">
        <v>5.86</v>
      </c>
      <c r="D9" s="39">
        <v>5.54</v>
      </c>
      <c r="E9" s="39">
        <v>-3.5</v>
      </c>
      <c r="F9" s="39">
        <v>5.39</v>
      </c>
      <c r="G9" s="39">
        <f t="shared" si="2"/>
        <v>3.722</v>
      </c>
      <c r="H9" s="39">
        <v>14.29</v>
      </c>
      <c r="I9" s="39">
        <v>14.4</v>
      </c>
      <c r="J9" s="39">
        <v>14.51</v>
      </c>
      <c r="K9" s="39">
        <v>14.31</v>
      </c>
      <c r="L9" s="39">
        <v>14.53</v>
      </c>
      <c r="M9" s="39">
        <f t="shared" si="3"/>
        <v>14.407999999999998</v>
      </c>
      <c r="O9" s="38" t="s">
        <v>73</v>
      </c>
      <c r="P9" s="38" t="s">
        <v>74</v>
      </c>
      <c r="Q9" s="39">
        <v>5.8724708200053044</v>
      </c>
      <c r="R9" s="39">
        <v>5.7674652149858048</v>
      </c>
      <c r="S9" s="39">
        <v>5.9659953226599072</v>
      </c>
      <c r="T9" s="39">
        <v>-3.7978504890417213</v>
      </c>
      <c r="U9" s="39">
        <v>5.8034570474077611</v>
      </c>
      <c r="V9" s="39">
        <f t="shared" si="0"/>
        <v>3.9223075832034113</v>
      </c>
      <c r="W9" s="39">
        <v>14.448499497385066</v>
      </c>
      <c r="X9" s="39">
        <v>14.513072197215179</v>
      </c>
      <c r="Y9" s="39">
        <v>14.596798040993447</v>
      </c>
      <c r="Z9" s="39">
        <v>14.42489820080992</v>
      </c>
      <c r="AA9" s="39">
        <v>14.770553182254881</v>
      </c>
      <c r="AB9" s="39">
        <f t="shared" si="1"/>
        <v>14.550764223731699</v>
      </c>
    </row>
    <row r="10" spans="1:28" x14ac:dyDescent="0.35">
      <c r="A10" t="s">
        <v>10</v>
      </c>
      <c r="B10" s="39">
        <v>5.85</v>
      </c>
      <c r="C10" s="39">
        <v>6.51</v>
      </c>
      <c r="D10" s="39">
        <v>8.32</v>
      </c>
      <c r="E10" s="39">
        <v>-27.37</v>
      </c>
      <c r="F10" s="39">
        <v>2.83</v>
      </c>
      <c r="G10" s="39">
        <f t="shared" si="2"/>
        <v>-0.77200000000000024</v>
      </c>
      <c r="H10" s="39">
        <v>6.69</v>
      </c>
      <c r="I10" s="39">
        <v>6.66</v>
      </c>
      <c r="J10" s="39">
        <v>6.84</v>
      </c>
      <c r="K10" s="39">
        <v>5.2</v>
      </c>
      <c r="L10" s="39">
        <v>5.24</v>
      </c>
      <c r="M10" s="39">
        <f t="shared" si="3"/>
        <v>6.1260000000000003</v>
      </c>
      <c r="O10" s="38" t="s">
        <v>75</v>
      </c>
      <c r="P10" s="38" t="s">
        <v>76</v>
      </c>
      <c r="Q10" s="39">
        <v>6.3005184671229557</v>
      </c>
      <c r="R10" s="39">
        <v>7.5456227945821297</v>
      </c>
      <c r="S10" s="39">
        <v>8.4915646391364561</v>
      </c>
      <c r="T10" s="39">
        <v>-32.379950565339456</v>
      </c>
      <c r="U10" s="39">
        <v>3.2752381152200201</v>
      </c>
      <c r="V10" s="39">
        <f t="shared" si="0"/>
        <v>-1.3534013098555788</v>
      </c>
      <c r="W10" s="39">
        <v>3.3417983935771418</v>
      </c>
      <c r="X10" s="39">
        <v>3.4131666778046355</v>
      </c>
      <c r="Y10" s="39">
        <v>3.5146751544522155</v>
      </c>
      <c r="Z10" s="39">
        <v>2.4413556849970384</v>
      </c>
      <c r="AA10" s="39">
        <v>2.4401212533096448</v>
      </c>
      <c r="AB10" s="39">
        <f t="shared" si="1"/>
        <v>3.030223432828135</v>
      </c>
    </row>
    <row r="11" spans="1:28" x14ac:dyDescent="0.35">
      <c r="A11" t="s">
        <v>11</v>
      </c>
      <c r="B11" s="39">
        <v>6.18</v>
      </c>
      <c r="C11" s="39">
        <v>6.9</v>
      </c>
      <c r="D11" s="39">
        <v>8.66</v>
      </c>
      <c r="E11" s="39">
        <v>-9.52</v>
      </c>
      <c r="F11" s="39">
        <v>4.6100000000000003</v>
      </c>
      <c r="G11" s="39">
        <f t="shared" si="2"/>
        <v>3.3660000000000005</v>
      </c>
      <c r="H11" s="39">
        <v>5.92</v>
      </c>
      <c r="I11" s="39">
        <v>5.93</v>
      </c>
      <c r="J11" s="39">
        <v>6.07</v>
      </c>
      <c r="K11" s="39">
        <v>5.58</v>
      </c>
      <c r="L11" s="39">
        <v>5.64</v>
      </c>
      <c r="M11" s="39">
        <f t="shared" si="3"/>
        <v>5.8280000000000003</v>
      </c>
      <c r="O11" s="38" t="s">
        <v>77</v>
      </c>
      <c r="P11" s="38" t="s">
        <v>78</v>
      </c>
      <c r="Q11" s="39">
        <v>6.4454776430833221</v>
      </c>
      <c r="R11" s="39">
        <v>8.1504378272408502</v>
      </c>
      <c r="S11" s="39">
        <v>9.0717435898907866</v>
      </c>
      <c r="T11" s="39">
        <v>-7.9794596525257617</v>
      </c>
      <c r="U11" s="39">
        <v>5.9186052766355743</v>
      </c>
      <c r="V11" s="39">
        <f t="shared" si="0"/>
        <v>4.3213609368649539</v>
      </c>
      <c r="W11" s="39">
        <v>3.1720412884324838</v>
      </c>
      <c r="X11" s="39">
        <v>3.258004094506834</v>
      </c>
      <c r="Y11" s="39">
        <v>3.3728389400704337</v>
      </c>
      <c r="Z11" s="39">
        <v>3.188238223437998</v>
      </c>
      <c r="AA11" s="39">
        <v>3.268188994193256</v>
      </c>
      <c r="AB11" s="39">
        <f t="shared" si="1"/>
        <v>3.2518623081282008</v>
      </c>
    </row>
    <row r="12" spans="1:28" x14ac:dyDescent="0.35">
      <c r="A12" t="s">
        <v>12</v>
      </c>
      <c r="B12" s="39">
        <v>11.35</v>
      </c>
      <c r="C12" s="39">
        <v>10.57</v>
      </c>
      <c r="D12" s="39">
        <v>7.17</v>
      </c>
      <c r="E12" s="39">
        <v>17.32</v>
      </c>
      <c r="F12" s="39">
        <v>2.21</v>
      </c>
      <c r="G12" s="39">
        <f t="shared" si="2"/>
        <v>9.7240000000000002</v>
      </c>
      <c r="H12" s="39">
        <v>5.12</v>
      </c>
      <c r="I12" s="39">
        <v>5.25</v>
      </c>
      <c r="J12" s="39">
        <v>5.3</v>
      </c>
      <c r="K12" s="39">
        <v>6.29</v>
      </c>
      <c r="L12" s="39">
        <v>6.2</v>
      </c>
      <c r="M12" s="39">
        <f t="shared" si="3"/>
        <v>5.6319999999999997</v>
      </c>
      <c r="O12" s="38" t="s">
        <v>79</v>
      </c>
      <c r="P12" s="38" t="s">
        <v>80</v>
      </c>
      <c r="Q12" s="39">
        <v>13.269745375632255</v>
      </c>
      <c r="R12" s="39">
        <v>12.388170785997119</v>
      </c>
      <c r="S12" s="39">
        <v>11.622542240288297</v>
      </c>
      <c r="T12" s="39">
        <v>15.652779023638928</v>
      </c>
      <c r="U12" s="39">
        <v>6.0431925816205592</v>
      </c>
      <c r="V12" s="39">
        <f t="shared" si="0"/>
        <v>11.795286001435432</v>
      </c>
      <c r="W12" s="39">
        <v>4.5298448843589831</v>
      </c>
      <c r="X12" s="39">
        <v>4.8349105723567263</v>
      </c>
      <c r="Y12" s="39">
        <v>5.1223833472761964</v>
      </c>
      <c r="Z12" s="39">
        <v>6.0855317367976678</v>
      </c>
      <c r="AA12" s="39">
        <v>6.245474960943608</v>
      </c>
      <c r="AB12" s="39">
        <f t="shared" si="1"/>
        <v>5.3636291003466363</v>
      </c>
    </row>
    <row r="13" spans="1:28" x14ac:dyDescent="0.35">
      <c r="A13" t="s">
        <v>13</v>
      </c>
      <c r="B13" s="39">
        <v>4.67</v>
      </c>
      <c r="C13" s="39">
        <v>3.55</v>
      </c>
      <c r="D13" s="39">
        <v>3.79</v>
      </c>
      <c r="E13" s="39">
        <v>1.2</v>
      </c>
      <c r="F13" s="39">
        <v>0.8</v>
      </c>
      <c r="G13" s="39">
        <f t="shared" si="2"/>
        <v>2.8019999999999996</v>
      </c>
      <c r="H13" s="39">
        <v>5.19</v>
      </c>
      <c r="I13" s="39">
        <v>5.15</v>
      </c>
      <c r="J13" s="39">
        <v>5.0599999999999996</v>
      </c>
      <c r="K13" s="39">
        <v>5.19</v>
      </c>
      <c r="L13" s="39">
        <v>5.17</v>
      </c>
      <c r="M13" s="39">
        <f t="shared" si="3"/>
        <v>5.1519999999999992</v>
      </c>
      <c r="O13" s="38" t="s">
        <v>81</v>
      </c>
      <c r="P13" s="38" t="s">
        <v>82</v>
      </c>
      <c r="Q13" s="39">
        <v>5.1692838760274213</v>
      </c>
      <c r="R13" s="39">
        <v>3.5783084050807759</v>
      </c>
      <c r="S13" s="39">
        <v>3.5009443995943883</v>
      </c>
      <c r="T13" s="39">
        <v>2.1600090315193228</v>
      </c>
      <c r="U13" s="39">
        <v>1.6215385328648892</v>
      </c>
      <c r="V13" s="39">
        <f t="shared" si="0"/>
        <v>3.2060168490173595</v>
      </c>
      <c r="W13" s="39">
        <v>2.7692207203803076</v>
      </c>
      <c r="X13" s="39">
        <v>2.7240238065414877</v>
      </c>
      <c r="Y13" s="39">
        <v>2.6760050771744299</v>
      </c>
      <c r="Z13" s="39">
        <v>2.8082659716177836</v>
      </c>
      <c r="AA13" s="39">
        <v>2.7619012645423031</v>
      </c>
      <c r="AB13" s="39">
        <f t="shared" si="1"/>
        <v>2.7478833680512627</v>
      </c>
    </row>
    <row r="14" spans="1:28" x14ac:dyDescent="0.35">
      <c r="A14" t="s">
        <v>14</v>
      </c>
      <c r="B14" s="39">
        <v>4.71</v>
      </c>
      <c r="C14" s="39">
        <v>5.46</v>
      </c>
      <c r="D14" s="39">
        <v>3.42</v>
      </c>
      <c r="E14" s="39">
        <v>-0.46</v>
      </c>
      <c r="F14" s="39">
        <v>2.14</v>
      </c>
      <c r="G14" s="39">
        <f t="shared" si="2"/>
        <v>3.0539999999999998</v>
      </c>
      <c r="H14" s="39">
        <v>3.18</v>
      </c>
      <c r="I14" s="39">
        <v>3.2</v>
      </c>
      <c r="J14" s="39">
        <v>3.13</v>
      </c>
      <c r="K14" s="39">
        <v>3.17</v>
      </c>
      <c r="L14" s="39">
        <v>3.1</v>
      </c>
      <c r="M14" s="39">
        <f t="shared" si="3"/>
        <v>3.1560000000000001</v>
      </c>
      <c r="O14" s="38" t="s">
        <v>83</v>
      </c>
      <c r="P14" s="38" t="s">
        <v>84</v>
      </c>
      <c r="Q14" s="39">
        <v>6.4775083521340378</v>
      </c>
      <c r="R14" s="39">
        <v>5.5795254556275466</v>
      </c>
      <c r="S14" s="39">
        <v>5.5339149089672475</v>
      </c>
      <c r="T14" s="39">
        <v>-0.27711766956645079</v>
      </c>
      <c r="U14" s="39">
        <v>2.1523490460812553</v>
      </c>
      <c r="V14" s="39">
        <f t="shared" si="0"/>
        <v>3.8932360186487274</v>
      </c>
      <c r="W14" s="39">
        <v>1.8860931540092762</v>
      </c>
      <c r="X14" s="39">
        <v>1.8911560071643414</v>
      </c>
      <c r="Y14" s="39">
        <v>1.8943103296389117</v>
      </c>
      <c r="Z14" s="39">
        <v>1.9405119962400197</v>
      </c>
      <c r="AA14" s="39">
        <v>1.9184427138572984</v>
      </c>
      <c r="AB14" s="39">
        <f t="shared" si="1"/>
        <v>1.9061028401819697</v>
      </c>
    </row>
    <row r="15" spans="1:28" x14ac:dyDescent="0.35">
      <c r="A15" t="s">
        <v>15</v>
      </c>
      <c r="B15" s="39">
        <v>7.84</v>
      </c>
      <c r="C15" s="39">
        <v>8.16</v>
      </c>
      <c r="D15" s="39">
        <v>8.68</v>
      </c>
      <c r="E15" s="39">
        <v>-6.25</v>
      </c>
      <c r="F15" s="39">
        <v>1.45</v>
      </c>
      <c r="G15" s="39">
        <f t="shared" si="2"/>
        <v>3.976</v>
      </c>
      <c r="H15" s="39">
        <v>0.36</v>
      </c>
      <c r="I15" s="39">
        <v>0.37</v>
      </c>
      <c r="J15" s="39">
        <v>0.39</v>
      </c>
      <c r="K15" s="39">
        <v>0.38</v>
      </c>
      <c r="L15" s="39">
        <v>0.37</v>
      </c>
      <c r="M15" s="39">
        <f t="shared" si="3"/>
        <v>0.374</v>
      </c>
      <c r="O15" s="38" t="s">
        <v>85</v>
      </c>
      <c r="P15" s="38" t="s">
        <v>86</v>
      </c>
      <c r="Q15" s="39">
        <v>8.7169019389775002</v>
      </c>
      <c r="R15" s="39">
        <v>9.4836258972711249</v>
      </c>
      <c r="S15" s="39">
        <v>10.542896109834032</v>
      </c>
      <c r="T15" s="39">
        <v>-7.1909505647300307</v>
      </c>
      <c r="U15" s="39">
        <v>3.0706710898938496</v>
      </c>
      <c r="V15" s="39">
        <f t="shared" si="0"/>
        <v>4.9246288942492953</v>
      </c>
      <c r="W15" s="39">
        <v>0.36885643161487075</v>
      </c>
      <c r="X15" s="39">
        <v>0.38352267403091528</v>
      </c>
      <c r="Y15" s="39">
        <v>0.40239595364497854</v>
      </c>
      <c r="Z15" s="39">
        <v>0.38363154545257405</v>
      </c>
      <c r="AA15" s="39">
        <v>0.38267805738519323</v>
      </c>
      <c r="AB15" s="39">
        <f t="shared" si="1"/>
        <v>0.38421693242570643</v>
      </c>
    </row>
    <row r="16" spans="1:28" x14ac:dyDescent="0.35">
      <c r="A16" t="s">
        <v>16</v>
      </c>
      <c r="B16" s="39">
        <v>2.2799999999999998</v>
      </c>
      <c r="C16" s="39">
        <v>3.37</v>
      </c>
      <c r="D16" s="39">
        <v>3.42</v>
      </c>
      <c r="E16" s="39">
        <v>-1.58</v>
      </c>
      <c r="F16" s="39">
        <v>1.66</v>
      </c>
      <c r="G16" s="39">
        <f t="shared" si="2"/>
        <v>1.83</v>
      </c>
      <c r="H16" s="39">
        <v>11.74</v>
      </c>
      <c r="I16" s="39">
        <v>11.38</v>
      </c>
      <c r="J16" s="39">
        <v>11.11</v>
      </c>
      <c r="K16" s="39">
        <v>11.22</v>
      </c>
      <c r="L16" s="39">
        <v>10.87</v>
      </c>
      <c r="M16" s="39">
        <f t="shared" si="3"/>
        <v>11.263999999999999</v>
      </c>
      <c r="O16" s="38" t="s">
        <v>87</v>
      </c>
      <c r="P16" s="38" t="s">
        <v>88</v>
      </c>
      <c r="Q16" s="39">
        <v>2.5707847478585677</v>
      </c>
      <c r="R16" s="39">
        <v>3.5757864551642768</v>
      </c>
      <c r="S16" s="39">
        <v>3.710538341624428</v>
      </c>
      <c r="T16" s="39">
        <v>-1.3838650529598908</v>
      </c>
      <c r="U16" s="39">
        <v>-0.64160677825726964</v>
      </c>
      <c r="V16" s="39">
        <f t="shared" si="0"/>
        <v>1.5663275426860224</v>
      </c>
      <c r="W16" s="39">
        <v>2.6074998184467457</v>
      </c>
      <c r="X16" s="39">
        <v>2.5648799266132327</v>
      </c>
      <c r="Y16" s="39">
        <v>2.5247689994591664</v>
      </c>
      <c r="Z16" s="39">
        <v>2.5576434905538243</v>
      </c>
      <c r="AA16" s="39">
        <v>2.4593974215360457</v>
      </c>
      <c r="AB16" s="39">
        <f t="shared" si="1"/>
        <v>2.5428379313218032</v>
      </c>
    </row>
    <row r="17" spans="1:28" x14ac:dyDescent="0.35">
      <c r="A17" t="s">
        <v>17</v>
      </c>
      <c r="B17" s="39">
        <v>7.1</v>
      </c>
      <c r="C17" s="39">
        <v>6.11</v>
      </c>
      <c r="D17" s="39">
        <v>6.03</v>
      </c>
      <c r="E17" s="39">
        <v>-0.2</v>
      </c>
      <c r="F17" s="39">
        <v>2.36</v>
      </c>
      <c r="G17" s="39">
        <f t="shared" si="2"/>
        <v>4.28</v>
      </c>
      <c r="H17" s="39">
        <v>7.76</v>
      </c>
      <c r="I17" s="39">
        <v>7.84</v>
      </c>
      <c r="J17" s="39">
        <v>7.95</v>
      </c>
      <c r="K17" s="39">
        <v>8.2200000000000006</v>
      </c>
      <c r="L17" s="39">
        <v>8.07</v>
      </c>
      <c r="M17" s="39">
        <f t="shared" si="3"/>
        <v>7.9680000000000009</v>
      </c>
      <c r="O17" s="38" t="s">
        <v>89</v>
      </c>
      <c r="P17" s="38" t="s">
        <v>90</v>
      </c>
      <c r="Q17" s="39">
        <v>6.9731575277747169</v>
      </c>
      <c r="R17" s="39">
        <v>7.755801741826545</v>
      </c>
      <c r="S17" s="39">
        <v>7.5908302680320645</v>
      </c>
      <c r="T17" s="39">
        <v>-0.23740294090697489</v>
      </c>
      <c r="U17" s="39">
        <v>6.9126145125267158E-2</v>
      </c>
      <c r="V17" s="39">
        <f t="shared" si="0"/>
        <v>4.4303025483703236</v>
      </c>
      <c r="W17" s="39">
        <v>3.767784759826784</v>
      </c>
      <c r="X17" s="39">
        <v>3.8557712424289985</v>
      </c>
      <c r="Y17" s="39">
        <v>3.9374789097990699</v>
      </c>
      <c r="Z17" s="39">
        <v>4.0351192017065003</v>
      </c>
      <c r="AA17" s="39">
        <v>3.907874622342705</v>
      </c>
      <c r="AB17" s="39">
        <f t="shared" si="1"/>
        <v>3.9008057472208115</v>
      </c>
    </row>
    <row r="18" spans="1:28" x14ac:dyDescent="0.35">
      <c r="A18" t="s">
        <v>18</v>
      </c>
      <c r="B18" s="39">
        <v>8.7200000000000006</v>
      </c>
      <c r="C18" s="39">
        <v>7.82</v>
      </c>
      <c r="D18" s="39">
        <v>6.36</v>
      </c>
      <c r="E18" s="39">
        <v>8.6300000000000008</v>
      </c>
      <c r="F18" s="39">
        <v>0.84</v>
      </c>
      <c r="G18" s="39">
        <f t="shared" si="2"/>
        <v>6.4740000000000011</v>
      </c>
      <c r="H18" s="39">
        <v>2.84</v>
      </c>
      <c r="I18" s="39">
        <v>2.88</v>
      </c>
      <c r="J18" s="39">
        <v>2.9</v>
      </c>
      <c r="K18" s="39">
        <v>3.28</v>
      </c>
      <c r="L18" s="39">
        <v>3.16</v>
      </c>
      <c r="M18" s="39">
        <f t="shared" si="3"/>
        <v>3.0119999999999996</v>
      </c>
      <c r="O18" s="38" t="s">
        <v>91</v>
      </c>
      <c r="P18" s="38" t="s">
        <v>92</v>
      </c>
      <c r="Q18" s="39">
        <v>8.6034245042170454</v>
      </c>
      <c r="R18" s="39">
        <v>8.7997339963040417</v>
      </c>
      <c r="S18" s="39">
        <v>6.7228274452690613</v>
      </c>
      <c r="T18" s="39">
        <v>8.1947937879080541</v>
      </c>
      <c r="U18" s="39">
        <v>0.18218800250760125</v>
      </c>
      <c r="V18" s="39">
        <f t="shared" si="0"/>
        <v>6.5005935472411611</v>
      </c>
      <c r="W18" s="39">
        <v>0.84203271341557651</v>
      </c>
      <c r="X18" s="39">
        <v>0.87004418790047211</v>
      </c>
      <c r="Y18" s="39">
        <v>0.88131336173459407</v>
      </c>
      <c r="Z18" s="39">
        <v>0.97950599838917718</v>
      </c>
      <c r="AA18" s="39">
        <v>0.94968976604945943</v>
      </c>
      <c r="AB18" s="39">
        <f t="shared" si="1"/>
        <v>0.90451720549785597</v>
      </c>
    </row>
    <row r="19" spans="1:28" x14ac:dyDescent="0.35">
      <c r="A19" t="s">
        <v>19</v>
      </c>
      <c r="B19" s="39">
        <v>9.26</v>
      </c>
      <c r="C19" s="39">
        <v>9.3000000000000007</v>
      </c>
      <c r="D19" s="39">
        <v>8.84</v>
      </c>
      <c r="E19" s="39">
        <v>-7.03</v>
      </c>
      <c r="F19" s="39">
        <v>1.04</v>
      </c>
      <c r="G19" s="39">
        <f t="shared" si="2"/>
        <v>4.282</v>
      </c>
      <c r="H19" s="39">
        <v>2.06</v>
      </c>
      <c r="I19" s="39">
        <v>2.1</v>
      </c>
      <c r="J19" s="39">
        <v>2.15</v>
      </c>
      <c r="K19" s="39">
        <v>2.04</v>
      </c>
      <c r="L19" s="39">
        <v>1.97</v>
      </c>
      <c r="M19" s="39">
        <f t="shared" si="3"/>
        <v>2.0640000000000005</v>
      </c>
      <c r="O19" s="38" t="s">
        <v>93</v>
      </c>
      <c r="P19" s="38" t="s">
        <v>94</v>
      </c>
      <c r="Q19" s="39">
        <v>8.9766189549502542</v>
      </c>
      <c r="R19" s="39">
        <v>9.4468500587594093</v>
      </c>
      <c r="S19" s="39">
        <v>9.0239103791491573</v>
      </c>
      <c r="T19" s="39">
        <v>-8.0077206797290899</v>
      </c>
      <c r="U19" s="39">
        <v>0.52743484114645867</v>
      </c>
      <c r="V19" s="39">
        <f t="shared" si="0"/>
        <v>3.9934187108552379</v>
      </c>
      <c r="W19" s="39">
        <v>1.6292960530924625</v>
      </c>
      <c r="X19" s="39">
        <v>1.6935100743409943</v>
      </c>
      <c r="Y19" s="39">
        <v>1.7524323479257835</v>
      </c>
      <c r="Z19" s="39">
        <v>1.6560102578828384</v>
      </c>
      <c r="AA19" s="39">
        <v>1.6111343942148766</v>
      </c>
      <c r="AB19" s="39">
        <f t="shared" si="1"/>
        <v>1.668476625491391</v>
      </c>
    </row>
    <row r="20" spans="1:28" x14ac:dyDescent="0.3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O20" s="117" t="s">
        <v>95</v>
      </c>
      <c r="P20" s="117"/>
      <c r="Q20" s="39">
        <v>5.2586238858115308</v>
      </c>
      <c r="R20" s="39">
        <v>5.2968763079431085</v>
      </c>
      <c r="S20" s="39">
        <v>5.3581844626838091</v>
      </c>
      <c r="T20" s="39">
        <v>-2.6514206220138163</v>
      </c>
      <c r="U20" s="39">
        <v>3.3274839723796106</v>
      </c>
      <c r="V20" s="39">
        <f t="shared" si="0"/>
        <v>3.3179496013608487</v>
      </c>
      <c r="W20" s="39">
        <v>100</v>
      </c>
      <c r="X20" s="39">
        <v>100</v>
      </c>
      <c r="Y20" s="39">
        <v>100</v>
      </c>
      <c r="Z20" s="39">
        <v>100</v>
      </c>
      <c r="AA20" s="39">
        <v>100</v>
      </c>
      <c r="AB20" s="39">
        <f t="shared" si="1"/>
        <v>100</v>
      </c>
    </row>
    <row r="21" spans="1:28" x14ac:dyDescent="0.3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28" ht="15.5" x14ac:dyDescent="0.35">
      <c r="A22" s="85" t="s">
        <v>0</v>
      </c>
      <c r="B22" s="114" t="s">
        <v>35</v>
      </c>
      <c r="C22" s="114"/>
      <c r="D22" s="114" t="s">
        <v>36</v>
      </c>
      <c r="E22" s="114"/>
      <c r="F22" s="91" t="s">
        <v>37</v>
      </c>
      <c r="G22" s="91" t="s">
        <v>38</v>
      </c>
    </row>
    <row r="23" spans="1:28" ht="60.75" customHeight="1" x14ac:dyDescent="0.35">
      <c r="A23" s="86"/>
      <c r="B23" s="92" t="s">
        <v>99</v>
      </c>
      <c r="C23" s="92" t="s">
        <v>98</v>
      </c>
      <c r="D23" s="92" t="s">
        <v>100</v>
      </c>
      <c r="E23" s="92" t="s">
        <v>101</v>
      </c>
      <c r="F23" s="91"/>
      <c r="G23" s="91"/>
    </row>
    <row r="24" spans="1:28" x14ac:dyDescent="0.35">
      <c r="A24" s="87"/>
      <c r="B24" s="92"/>
      <c r="C24" s="92"/>
      <c r="D24" s="92"/>
      <c r="E24" s="92"/>
      <c r="F24" s="91"/>
      <c r="G24" s="91"/>
    </row>
    <row r="25" spans="1:28" ht="15.5" x14ac:dyDescent="0.35">
      <c r="A25" s="5" t="s">
        <v>3</v>
      </c>
      <c r="B25" s="13">
        <v>1.7869925463279372</v>
      </c>
      <c r="C25" s="13">
        <v>12.879622249344681</v>
      </c>
      <c r="D25" s="13">
        <v>1.83</v>
      </c>
      <c r="E25" s="13">
        <v>1.8280000000000001</v>
      </c>
      <c r="F25" s="5"/>
      <c r="G25" s="6">
        <v>3</v>
      </c>
    </row>
    <row r="26" spans="1:28" ht="15.5" x14ac:dyDescent="0.35">
      <c r="A26" s="5" t="s">
        <v>4</v>
      </c>
      <c r="B26" s="13">
        <v>2.9047940622584405</v>
      </c>
      <c r="C26" s="13">
        <v>2.224415991998308</v>
      </c>
      <c r="D26" s="13"/>
      <c r="E26" s="13"/>
      <c r="F26" s="5"/>
      <c r="G26" s="6">
        <v>4</v>
      </c>
    </row>
    <row r="27" spans="1:28" ht="15.5" x14ac:dyDescent="0.35">
      <c r="A27" s="5" t="s">
        <v>5</v>
      </c>
      <c r="B27" s="13">
        <v>2.4541809113864161</v>
      </c>
      <c r="C27" s="13">
        <v>34.012543789442589</v>
      </c>
      <c r="D27" s="13">
        <v>3.37</v>
      </c>
      <c r="E27" s="13">
        <v>16.045999999999999</v>
      </c>
      <c r="F27" s="5"/>
      <c r="G27" s="6">
        <v>3</v>
      </c>
    </row>
    <row r="28" spans="1:28" ht="15.5" x14ac:dyDescent="0.35">
      <c r="A28" s="5" t="s">
        <v>23</v>
      </c>
      <c r="B28" s="13">
        <v>4.7613680009959864</v>
      </c>
      <c r="C28" s="13">
        <v>0.11197364412714468</v>
      </c>
      <c r="D28" s="13">
        <v>5.58</v>
      </c>
      <c r="E28" s="13">
        <v>0.29799999999999999</v>
      </c>
      <c r="F28" s="5"/>
      <c r="G28" s="6">
        <v>2</v>
      </c>
    </row>
    <row r="29" spans="1:28" ht="15.5" x14ac:dyDescent="0.35">
      <c r="A29" s="5" t="s">
        <v>24</v>
      </c>
      <c r="B29" s="13">
        <v>4.7890264275841075</v>
      </c>
      <c r="C29" s="13">
        <v>7.1436083295465941E-2</v>
      </c>
      <c r="D29" s="13">
        <v>2.4959999999999996</v>
      </c>
      <c r="E29" s="13">
        <v>0.122</v>
      </c>
      <c r="F29" s="5"/>
      <c r="G29" s="6">
        <v>2</v>
      </c>
    </row>
    <row r="30" spans="1:28" ht="15.5" x14ac:dyDescent="0.35">
      <c r="A30" s="5" t="s">
        <v>8</v>
      </c>
      <c r="B30" s="13">
        <v>4.351076263455516</v>
      </c>
      <c r="C30" s="13">
        <v>10.448688526566349</v>
      </c>
      <c r="D30" s="13">
        <v>3.08</v>
      </c>
      <c r="E30" s="13">
        <v>16.720000000000002</v>
      </c>
      <c r="F30" s="5"/>
      <c r="G30" s="6">
        <v>2</v>
      </c>
    </row>
    <row r="31" spans="1:28" ht="33" customHeight="1" x14ac:dyDescent="0.35">
      <c r="A31" s="5" t="s">
        <v>25</v>
      </c>
      <c r="B31" s="13">
        <v>3.9223075832034113</v>
      </c>
      <c r="C31" s="13">
        <v>14.550764223731699</v>
      </c>
      <c r="D31" s="13">
        <v>3.722</v>
      </c>
      <c r="E31" s="13">
        <v>14.407999999999998</v>
      </c>
      <c r="F31" s="5"/>
      <c r="G31" s="6">
        <v>4</v>
      </c>
    </row>
    <row r="32" spans="1:28" ht="15.75" customHeight="1" x14ac:dyDescent="0.35">
      <c r="A32" s="5" t="s">
        <v>10</v>
      </c>
      <c r="B32" s="13">
        <v>-1.3534013098555788</v>
      </c>
      <c r="C32" s="13">
        <v>3.030223432828135</v>
      </c>
      <c r="D32" s="13">
        <v>-0.77200000000000024</v>
      </c>
      <c r="E32" s="13">
        <v>6.1260000000000003</v>
      </c>
      <c r="F32" s="5"/>
      <c r="G32" s="6">
        <v>2</v>
      </c>
    </row>
    <row r="33" spans="1:7" ht="15.5" x14ac:dyDescent="0.35">
      <c r="A33" s="5" t="s">
        <v>11</v>
      </c>
      <c r="B33" s="13">
        <v>4.3213609368649539</v>
      </c>
      <c r="C33" s="13">
        <v>3.2518623081282008</v>
      </c>
      <c r="D33" s="13">
        <v>3.3660000000000005</v>
      </c>
      <c r="E33" s="13">
        <v>5.8280000000000003</v>
      </c>
      <c r="F33" s="5"/>
      <c r="G33" s="6">
        <v>2</v>
      </c>
    </row>
    <row r="34" spans="1:7" ht="15.5" x14ac:dyDescent="0.35">
      <c r="A34" s="5" t="s">
        <v>12</v>
      </c>
      <c r="B34" s="13">
        <v>11.795286001435432</v>
      </c>
      <c r="C34" s="13">
        <v>5.3636291003466363</v>
      </c>
      <c r="D34" s="13">
        <v>9.7240000000000002</v>
      </c>
      <c r="E34" s="13">
        <v>5.6319999999999997</v>
      </c>
      <c r="F34" s="5"/>
      <c r="G34" s="6">
        <v>2</v>
      </c>
    </row>
    <row r="35" spans="1:7" ht="15.5" x14ac:dyDescent="0.35">
      <c r="A35" s="5" t="s">
        <v>26</v>
      </c>
      <c r="B35" s="13">
        <v>3.2060168490173595</v>
      </c>
      <c r="C35" s="13">
        <v>2.7478833680512627</v>
      </c>
      <c r="D35" s="13">
        <v>2.8019999999999996</v>
      </c>
      <c r="E35" s="13">
        <v>5.1519999999999992</v>
      </c>
      <c r="F35" s="5"/>
      <c r="G35" s="6">
        <v>2</v>
      </c>
    </row>
    <row r="36" spans="1:7" ht="15.5" x14ac:dyDescent="0.35">
      <c r="A36" s="5" t="s">
        <v>14</v>
      </c>
      <c r="B36" s="13">
        <v>3.8932360186487274</v>
      </c>
      <c r="C36" s="13">
        <v>1.9061028401819697</v>
      </c>
      <c r="D36" s="13">
        <v>3.0539999999999998</v>
      </c>
      <c r="E36" s="13">
        <v>3.1560000000000001</v>
      </c>
      <c r="F36" s="5"/>
      <c r="G36" s="6">
        <v>2</v>
      </c>
    </row>
    <row r="37" spans="1:7" ht="15.5" x14ac:dyDescent="0.35">
      <c r="A37" s="5" t="s">
        <v>27</v>
      </c>
      <c r="B37" s="13">
        <v>4.9246288942492953</v>
      </c>
      <c r="C37" s="13">
        <v>0.38421693242570643</v>
      </c>
      <c r="D37" s="13">
        <v>3.976</v>
      </c>
      <c r="E37" s="13">
        <v>0.374</v>
      </c>
      <c r="F37" s="5"/>
      <c r="G37" s="6">
        <v>4</v>
      </c>
    </row>
    <row r="38" spans="1:7" ht="15.5" x14ac:dyDescent="0.35">
      <c r="A38" s="5" t="s">
        <v>16</v>
      </c>
      <c r="B38" s="13">
        <v>1.5663275426860224</v>
      </c>
      <c r="C38" s="13">
        <v>2.5428379313218032</v>
      </c>
      <c r="D38" s="13">
        <v>1.83</v>
      </c>
      <c r="E38" s="13">
        <v>11.263999999999999</v>
      </c>
      <c r="F38" s="5"/>
      <c r="G38" s="6">
        <v>1</v>
      </c>
    </row>
    <row r="39" spans="1:7" ht="15.5" x14ac:dyDescent="0.35">
      <c r="A39" s="5" t="s">
        <v>17</v>
      </c>
      <c r="B39" s="13">
        <v>4.4303025483703236</v>
      </c>
      <c r="C39" s="13">
        <v>3.9008057472208115</v>
      </c>
      <c r="D39" s="13">
        <v>4.28</v>
      </c>
      <c r="E39" s="13">
        <v>7.9680000000000009</v>
      </c>
      <c r="F39" s="5"/>
      <c r="G39" s="6">
        <v>2</v>
      </c>
    </row>
    <row r="40" spans="1:7" ht="15.5" x14ac:dyDescent="0.35">
      <c r="A40" s="5" t="s">
        <v>18</v>
      </c>
      <c r="B40" s="13">
        <v>6.5005935472411611</v>
      </c>
      <c r="C40" s="13">
        <v>0.90451720549785597</v>
      </c>
      <c r="D40" s="13">
        <v>6.4740000000000011</v>
      </c>
      <c r="E40" s="13">
        <v>3.0119999999999996</v>
      </c>
      <c r="F40" s="5"/>
      <c r="G40" s="6">
        <v>2</v>
      </c>
    </row>
    <row r="41" spans="1:7" ht="15.5" x14ac:dyDescent="0.35">
      <c r="A41" s="5" t="s">
        <v>28</v>
      </c>
      <c r="B41" s="13">
        <v>3.9934187108552379</v>
      </c>
      <c r="C41" s="13">
        <v>1.668476625491391</v>
      </c>
      <c r="D41" s="13">
        <v>4.282</v>
      </c>
      <c r="E41" s="13">
        <v>2.0640000000000005</v>
      </c>
      <c r="F41" s="5"/>
      <c r="G41" s="6">
        <v>1</v>
      </c>
    </row>
    <row r="48" spans="1:7" ht="15.5" x14ac:dyDescent="0.35">
      <c r="C48" s="100" t="s">
        <v>50</v>
      </c>
      <c r="D48" s="114" t="s">
        <v>51</v>
      </c>
      <c r="E48" s="114"/>
    </row>
    <row r="49" spans="3:5" x14ac:dyDescent="0.35">
      <c r="C49" s="101"/>
      <c r="D49" s="112" t="s">
        <v>44</v>
      </c>
      <c r="E49" s="112" t="s">
        <v>42</v>
      </c>
    </row>
    <row r="50" spans="3:5" x14ac:dyDescent="0.35">
      <c r="C50" s="102"/>
      <c r="D50" s="113"/>
      <c r="E50" s="113"/>
    </row>
    <row r="51" spans="3:5" ht="139.5" customHeight="1" x14ac:dyDescent="0.35">
      <c r="C51" s="21" t="s">
        <v>43</v>
      </c>
      <c r="D51" s="35" t="s">
        <v>102</v>
      </c>
      <c r="E51" s="35" t="s">
        <v>103</v>
      </c>
    </row>
    <row r="52" spans="3:5" ht="170" x14ac:dyDescent="0.35">
      <c r="C52" s="21" t="s">
        <v>45</v>
      </c>
      <c r="D52" s="35" t="s">
        <v>53</v>
      </c>
      <c r="E52" s="35" t="s">
        <v>52</v>
      </c>
    </row>
  </sheetData>
  <mergeCells count="24">
    <mergeCell ref="AB1:AB2"/>
    <mergeCell ref="O20:P20"/>
    <mergeCell ref="Q1:U1"/>
    <mergeCell ref="W1:AA1"/>
    <mergeCell ref="H1:L1"/>
    <mergeCell ref="M1:M2"/>
    <mergeCell ref="O1:P2"/>
    <mergeCell ref="V1:V2"/>
    <mergeCell ref="G1:G2"/>
    <mergeCell ref="C23:C24"/>
    <mergeCell ref="D23:D24"/>
    <mergeCell ref="E23:E24"/>
    <mergeCell ref="A22:A24"/>
    <mergeCell ref="B22:C22"/>
    <mergeCell ref="D22:E22"/>
    <mergeCell ref="F22:F24"/>
    <mergeCell ref="G22:G24"/>
    <mergeCell ref="B23:B24"/>
    <mergeCell ref="B1:F1"/>
    <mergeCell ref="C48:C50"/>
    <mergeCell ref="D48:E48"/>
    <mergeCell ref="D49:D50"/>
    <mergeCell ref="E49:E50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8ABC-FAB7-4564-AAA8-5591C68E1BFF}">
  <dimension ref="A1:U60"/>
  <sheetViews>
    <sheetView topLeftCell="D1" zoomScaleNormal="100" workbookViewId="0">
      <selection activeCell="K20" sqref="K20"/>
    </sheetView>
  </sheetViews>
  <sheetFormatPr defaultRowHeight="14.5" x14ac:dyDescent="0.35"/>
  <cols>
    <col min="1" max="1" width="62" customWidth="1"/>
    <col min="2" max="2" width="11.90625" customWidth="1"/>
    <col min="3" max="3" width="12.36328125" customWidth="1"/>
    <col min="4" max="4" width="11.1796875" bestFit="1" customWidth="1"/>
    <col min="5" max="5" width="12.26953125" customWidth="1"/>
    <col min="6" max="6" width="11.08984375" customWidth="1"/>
    <col min="7" max="7" width="12" customWidth="1"/>
    <col min="8" max="8" width="12.36328125" customWidth="1"/>
    <col min="9" max="9" width="15.81640625" customWidth="1"/>
    <col min="10" max="10" width="16.26953125" customWidth="1"/>
    <col min="11" max="11" width="17.08984375" customWidth="1"/>
    <col min="12" max="12" width="15.7265625" customWidth="1"/>
    <col min="13" max="13" width="15.6328125" customWidth="1"/>
    <col min="14" max="14" width="16.81640625" customWidth="1"/>
    <col min="16" max="17" width="13.453125" bestFit="1" customWidth="1"/>
    <col min="18" max="18" width="13.81640625" customWidth="1"/>
    <col min="19" max="19" width="11.6328125" customWidth="1"/>
    <col min="20" max="20" width="12.08984375" customWidth="1"/>
  </cols>
  <sheetData>
    <row r="1" spans="1:21" x14ac:dyDescent="0.35">
      <c r="A1" s="124" t="s">
        <v>0</v>
      </c>
      <c r="B1" s="126" t="s">
        <v>57</v>
      </c>
      <c r="C1" s="127"/>
      <c r="D1" s="127"/>
      <c r="E1" s="127"/>
      <c r="F1" s="127"/>
      <c r="G1" s="128"/>
      <c r="H1" s="50" t="s">
        <v>56</v>
      </c>
      <c r="I1" s="129" t="s">
        <v>104</v>
      </c>
      <c r="J1" s="130"/>
      <c r="K1" s="130"/>
      <c r="L1" s="130"/>
      <c r="M1" s="130"/>
      <c r="N1" s="131"/>
      <c r="O1" s="52" t="s">
        <v>97</v>
      </c>
      <c r="P1" s="53"/>
      <c r="Q1" s="53"/>
      <c r="R1" s="53"/>
      <c r="S1" s="54"/>
      <c r="T1" s="55" t="s">
        <v>56</v>
      </c>
    </row>
    <row r="2" spans="1:21" x14ac:dyDescent="0.35">
      <c r="A2" s="125"/>
      <c r="B2" s="38">
        <v>2016</v>
      </c>
      <c r="C2" s="43">
        <v>2017</v>
      </c>
      <c r="D2" s="43">
        <v>2018</v>
      </c>
      <c r="E2" s="43">
        <v>2019</v>
      </c>
      <c r="F2" s="43">
        <v>2020</v>
      </c>
      <c r="G2" s="43">
        <v>2021</v>
      </c>
      <c r="H2" s="51"/>
      <c r="I2" s="45">
        <v>2016</v>
      </c>
      <c r="J2" s="45">
        <v>2017</v>
      </c>
      <c r="K2" s="45">
        <v>2018</v>
      </c>
      <c r="L2" s="45">
        <v>2019</v>
      </c>
      <c r="M2" s="45">
        <v>2020</v>
      </c>
      <c r="N2" s="45">
        <v>2021</v>
      </c>
      <c r="O2" s="47">
        <v>2017</v>
      </c>
      <c r="P2" s="47">
        <v>2018</v>
      </c>
      <c r="Q2" s="47">
        <v>2019</v>
      </c>
      <c r="R2" s="47">
        <v>2020</v>
      </c>
      <c r="S2" s="47">
        <v>2021</v>
      </c>
      <c r="T2" s="56"/>
    </row>
    <row r="3" spans="1:21" x14ac:dyDescent="0.35">
      <c r="A3" s="38" t="s">
        <v>3</v>
      </c>
      <c r="B3" s="38">
        <v>1.94</v>
      </c>
      <c r="C3" s="44">
        <v>1.86</v>
      </c>
      <c r="D3" s="44">
        <v>1.8</v>
      </c>
      <c r="E3" s="44">
        <v>1.81</v>
      </c>
      <c r="F3" s="44">
        <v>1.86</v>
      </c>
      <c r="G3" s="44">
        <v>1.81</v>
      </c>
      <c r="H3" s="44">
        <f>AVERAGE(B3:G3)</f>
        <v>1.8466666666666667</v>
      </c>
      <c r="I3" s="46">
        <f>B3*$B$20/100</f>
        <v>49966.601200000005</v>
      </c>
      <c r="J3" s="46">
        <f>C3*$C$20/100</f>
        <v>50563.101924000002</v>
      </c>
      <c r="K3" s="46">
        <f>D3*$D$20/100</f>
        <v>52580.041919999996</v>
      </c>
      <c r="L3" s="46">
        <f>E3*$E$20/100</f>
        <v>55296.237937000005</v>
      </c>
      <c r="M3" s="46">
        <f>F3*$F$20/100</f>
        <v>53774.605451999996</v>
      </c>
      <c r="N3" s="46">
        <f>G3*$G$20</f>
        <v>8454646.6007000003</v>
      </c>
      <c r="O3" s="48">
        <v>2</v>
      </c>
      <c r="P3" s="48">
        <v>0.86</v>
      </c>
      <c r="Q3" s="48">
        <v>5.17</v>
      </c>
      <c r="R3" s="48">
        <v>0.74</v>
      </c>
      <c r="S3" s="48">
        <v>0.38</v>
      </c>
      <c r="T3" s="48">
        <v>1.83</v>
      </c>
      <c r="U3" s="36"/>
    </row>
    <row r="4" spans="1:21" x14ac:dyDescent="0.35">
      <c r="A4" s="38" t="s">
        <v>4</v>
      </c>
      <c r="B4" s="38"/>
      <c r="C4" s="44"/>
      <c r="D4" s="44"/>
      <c r="E4" s="44"/>
      <c r="F4" s="44"/>
      <c r="G4" s="44"/>
      <c r="H4" s="44"/>
      <c r="I4" s="46">
        <f t="shared" ref="I4:I19" si="0">B4*$B$20/100</f>
        <v>0</v>
      </c>
      <c r="J4" s="46">
        <f t="shared" ref="J4:J19" si="1">C4*$C$20/100</f>
        <v>0</v>
      </c>
      <c r="K4" s="46">
        <f t="shared" ref="K4:K19" si="2">D4*$D$20/100</f>
        <v>0</v>
      </c>
      <c r="L4" s="46">
        <f t="shared" ref="L4:L19" si="3">E4*$E$20/100</f>
        <v>0</v>
      </c>
      <c r="M4" s="46">
        <f t="shared" ref="M4:M19" si="4">F4*$F$20/100</f>
        <v>0</v>
      </c>
      <c r="N4" s="46">
        <f t="shared" ref="N4:N19" si="5">G4*$G$20</f>
        <v>0</v>
      </c>
      <c r="O4" s="48" t="s">
        <v>54</v>
      </c>
      <c r="P4" s="48" t="s">
        <v>54</v>
      </c>
      <c r="Q4" s="48" t="s">
        <v>54</v>
      </c>
      <c r="R4" s="48" t="s">
        <v>54</v>
      </c>
      <c r="S4" s="48" t="s">
        <v>54</v>
      </c>
      <c r="T4" s="48"/>
    </row>
    <row r="5" spans="1:21" x14ac:dyDescent="0.35">
      <c r="A5" s="38" t="s">
        <v>5</v>
      </c>
      <c r="B5" s="38">
        <v>16.18</v>
      </c>
      <c r="C5" s="44">
        <v>16.059999999999999</v>
      </c>
      <c r="D5" s="44">
        <v>15.82</v>
      </c>
      <c r="E5" s="44">
        <v>15.62</v>
      </c>
      <c r="F5" s="44">
        <v>16.13</v>
      </c>
      <c r="G5" s="44">
        <v>16.600000000000001</v>
      </c>
      <c r="H5" s="44">
        <f t="shared" ref="H5:H20" si="6">AVERAGE(B5:G5)</f>
        <v>16.068333333333332</v>
      </c>
      <c r="I5" s="46">
        <f t="shared" si="0"/>
        <v>416731.75640000001</v>
      </c>
      <c r="J5" s="46">
        <f t="shared" si="1"/>
        <v>436582.48220399988</v>
      </c>
      <c r="K5" s="46">
        <f t="shared" si="2"/>
        <v>462120.14620800002</v>
      </c>
      <c r="L5" s="46">
        <f t="shared" si="3"/>
        <v>477197.36827400001</v>
      </c>
      <c r="M5" s="46">
        <f t="shared" si="4"/>
        <v>466335.69136599993</v>
      </c>
      <c r="N5" s="46">
        <f t="shared" si="5"/>
        <v>77539852.802000001</v>
      </c>
      <c r="O5" s="48">
        <v>4.3600000000000003</v>
      </c>
      <c r="P5" s="48">
        <v>3.48</v>
      </c>
      <c r="Q5" s="48">
        <v>4.53</v>
      </c>
      <c r="R5" s="48">
        <v>-0.21</v>
      </c>
      <c r="S5" s="48">
        <v>4.6900000000000004</v>
      </c>
      <c r="T5" s="48">
        <v>3.37</v>
      </c>
    </row>
    <row r="6" spans="1:21" x14ac:dyDescent="0.35">
      <c r="A6" s="38" t="s">
        <v>6</v>
      </c>
      <c r="B6" s="38">
        <v>0.28000000000000003</v>
      </c>
      <c r="C6" s="44">
        <v>0.28999999999999998</v>
      </c>
      <c r="D6" s="44">
        <v>0.3</v>
      </c>
      <c r="E6" s="44">
        <v>0.28999999999999998</v>
      </c>
      <c r="F6" s="44">
        <v>0.3</v>
      </c>
      <c r="G6" s="44">
        <v>0.31</v>
      </c>
      <c r="H6" s="44">
        <f t="shared" si="6"/>
        <v>0.29500000000000004</v>
      </c>
      <c r="I6" s="46">
        <f t="shared" si="0"/>
        <v>7211.6744000000008</v>
      </c>
      <c r="J6" s="46">
        <f t="shared" si="1"/>
        <v>7883.4943859999985</v>
      </c>
      <c r="K6" s="46">
        <f t="shared" si="2"/>
        <v>8763.3403199999993</v>
      </c>
      <c r="L6" s="46">
        <f t="shared" si="3"/>
        <v>8859.6182329999992</v>
      </c>
      <c r="M6" s="46">
        <f t="shared" si="4"/>
        <v>8673.3234599999996</v>
      </c>
      <c r="N6" s="46">
        <f t="shared" si="5"/>
        <v>1448033.3957</v>
      </c>
      <c r="O6" s="48">
        <v>4.2</v>
      </c>
      <c r="P6" s="48">
        <v>6.35</v>
      </c>
      <c r="Q6" s="48">
        <v>5.82</v>
      </c>
      <c r="R6" s="48">
        <v>1.8</v>
      </c>
      <c r="S6" s="48">
        <v>9.73</v>
      </c>
      <c r="T6" s="48">
        <v>5.58</v>
      </c>
    </row>
    <row r="7" spans="1:21" x14ac:dyDescent="0.35">
      <c r="A7" s="38" t="s">
        <v>7</v>
      </c>
      <c r="B7" s="38">
        <v>0.13</v>
      </c>
      <c r="C7" s="44">
        <v>0.12</v>
      </c>
      <c r="D7" s="44">
        <v>0.12</v>
      </c>
      <c r="E7" s="44">
        <v>0.12</v>
      </c>
      <c r="F7" s="44">
        <v>0.13</v>
      </c>
      <c r="G7" s="44">
        <v>0.12</v>
      </c>
      <c r="H7" s="44">
        <f t="shared" si="6"/>
        <v>0.12333333333333334</v>
      </c>
      <c r="I7" s="46">
        <f t="shared" si="0"/>
        <v>3348.2773999999999</v>
      </c>
      <c r="J7" s="46">
        <f t="shared" si="1"/>
        <v>3262.1356079999996</v>
      </c>
      <c r="K7" s="46">
        <f t="shared" si="2"/>
        <v>3505.3361279999999</v>
      </c>
      <c r="L7" s="46">
        <f t="shared" si="3"/>
        <v>3666.0489240000002</v>
      </c>
      <c r="M7" s="46">
        <f t="shared" si="4"/>
        <v>3758.4401659999999</v>
      </c>
      <c r="N7" s="46">
        <f t="shared" si="5"/>
        <v>560529.0564</v>
      </c>
      <c r="O7" s="48">
        <v>4.58</v>
      </c>
      <c r="P7" s="48">
        <v>4.1399999999999997</v>
      </c>
      <c r="Q7" s="48">
        <v>4.03</v>
      </c>
      <c r="R7" s="48">
        <v>-0.47</v>
      </c>
      <c r="S7" s="48">
        <v>0.2</v>
      </c>
      <c r="T7" s="48">
        <v>2.4959999999999996</v>
      </c>
    </row>
    <row r="8" spans="1:21" x14ac:dyDescent="0.35">
      <c r="A8" s="38" t="s">
        <v>8</v>
      </c>
      <c r="B8" s="38">
        <v>16.559999999999999</v>
      </c>
      <c r="C8" s="44">
        <v>16.510000000000002</v>
      </c>
      <c r="D8" s="44">
        <v>16.79</v>
      </c>
      <c r="E8" s="44">
        <v>16.760000000000002</v>
      </c>
      <c r="F8" s="44">
        <v>16.68</v>
      </c>
      <c r="G8" s="44">
        <v>16.86</v>
      </c>
      <c r="H8" s="44">
        <f t="shared" si="6"/>
        <v>16.693333333333335</v>
      </c>
      <c r="I8" s="46">
        <f t="shared" si="0"/>
        <v>426519.02879999997</v>
      </c>
      <c r="J8" s="46">
        <f t="shared" si="1"/>
        <v>448815.49073399999</v>
      </c>
      <c r="K8" s="46">
        <f t="shared" si="2"/>
        <v>490454.94657599996</v>
      </c>
      <c r="L8" s="46">
        <f t="shared" si="3"/>
        <v>512024.83305200003</v>
      </c>
      <c r="M8" s="46">
        <f t="shared" si="4"/>
        <v>482236.78437599994</v>
      </c>
      <c r="N8" s="46">
        <f t="shared" si="5"/>
        <v>78754332.424199998</v>
      </c>
      <c r="O8" s="48">
        <v>4.93</v>
      </c>
      <c r="P8" s="48">
        <v>5.0999999999999996</v>
      </c>
      <c r="Q8" s="48">
        <v>4.04</v>
      </c>
      <c r="R8" s="48">
        <v>-1.9</v>
      </c>
      <c r="S8" s="48">
        <v>3.23</v>
      </c>
      <c r="T8" s="48">
        <v>3.08</v>
      </c>
    </row>
    <row r="9" spans="1:21" x14ac:dyDescent="0.35">
      <c r="A9" s="38" t="s">
        <v>9</v>
      </c>
      <c r="B9" s="38">
        <v>14.35</v>
      </c>
      <c r="C9" s="44">
        <v>14.29</v>
      </c>
      <c r="D9" s="44">
        <v>14.4</v>
      </c>
      <c r="E9" s="44">
        <v>14.51</v>
      </c>
      <c r="F9" s="44">
        <v>14.31</v>
      </c>
      <c r="G9" s="44">
        <v>14.53</v>
      </c>
      <c r="H9" s="44">
        <f t="shared" si="6"/>
        <v>14.398333333333333</v>
      </c>
      <c r="I9" s="46">
        <f t="shared" si="0"/>
        <v>369598.31299999997</v>
      </c>
      <c r="J9" s="46">
        <f t="shared" si="1"/>
        <v>388465.98198599997</v>
      </c>
      <c r="K9" s="46">
        <f t="shared" si="2"/>
        <v>420640.33535999997</v>
      </c>
      <c r="L9" s="46">
        <f t="shared" si="3"/>
        <v>443286.41572699999</v>
      </c>
      <c r="M9" s="46">
        <f t="shared" si="4"/>
        <v>413717.52904200001</v>
      </c>
      <c r="N9" s="46">
        <f t="shared" si="5"/>
        <v>67870726.579099998</v>
      </c>
      <c r="O9" s="48">
        <v>5.32</v>
      </c>
      <c r="P9" s="48">
        <v>5.86</v>
      </c>
      <c r="Q9" s="48">
        <v>5.54</v>
      </c>
      <c r="R9" s="48">
        <v>-3.5</v>
      </c>
      <c r="S9" s="48">
        <v>5.39</v>
      </c>
      <c r="T9" s="48">
        <v>3.722</v>
      </c>
    </row>
    <row r="10" spans="1:21" x14ac:dyDescent="0.35">
      <c r="A10" s="38" t="s">
        <v>10</v>
      </c>
      <c r="B10" s="38">
        <v>6.75</v>
      </c>
      <c r="C10" s="44">
        <v>6.69</v>
      </c>
      <c r="D10" s="44">
        <v>6.66</v>
      </c>
      <c r="E10" s="44">
        <v>6.84</v>
      </c>
      <c r="F10" s="44">
        <v>5.2</v>
      </c>
      <c r="G10" s="44">
        <v>5.24</v>
      </c>
      <c r="H10" s="44">
        <f t="shared" si="6"/>
        <v>6.23</v>
      </c>
      <c r="I10" s="46">
        <f t="shared" si="0"/>
        <v>173852.86499999999</v>
      </c>
      <c r="J10" s="46">
        <f t="shared" si="1"/>
        <v>181864.060146</v>
      </c>
      <c r="K10" s="46">
        <f t="shared" si="2"/>
        <v>194546.155104</v>
      </c>
      <c r="L10" s="46">
        <f t="shared" si="3"/>
        <v>208964.78866799999</v>
      </c>
      <c r="M10" s="46">
        <f t="shared" si="4"/>
        <v>150337.60663999998</v>
      </c>
      <c r="N10" s="46">
        <f t="shared" si="5"/>
        <v>24476435.4628</v>
      </c>
      <c r="O10" s="48">
        <v>5.85</v>
      </c>
      <c r="P10" s="48">
        <v>6.51</v>
      </c>
      <c r="Q10" s="48">
        <v>8.32</v>
      </c>
      <c r="R10" s="48">
        <v>-27.37</v>
      </c>
      <c r="S10" s="48">
        <v>2.83</v>
      </c>
      <c r="T10" s="48">
        <v>-0.77200000000000024</v>
      </c>
    </row>
    <row r="11" spans="1:21" x14ac:dyDescent="0.35">
      <c r="A11" s="38" t="s">
        <v>11</v>
      </c>
      <c r="B11" s="38">
        <v>5.98</v>
      </c>
      <c r="C11" s="44">
        <v>5.92</v>
      </c>
      <c r="D11" s="44">
        <v>5.93</v>
      </c>
      <c r="E11" s="44">
        <v>6.07</v>
      </c>
      <c r="F11" s="44">
        <v>5.58</v>
      </c>
      <c r="G11" s="44">
        <v>5.64</v>
      </c>
      <c r="H11" s="44">
        <f t="shared" si="6"/>
        <v>5.8533333333333326</v>
      </c>
      <c r="I11" s="46">
        <f t="shared" si="0"/>
        <v>154020.7604</v>
      </c>
      <c r="J11" s="46">
        <f t="shared" si="1"/>
        <v>160932.02332799998</v>
      </c>
      <c r="K11" s="46">
        <f t="shared" si="2"/>
        <v>173222.026992</v>
      </c>
      <c r="L11" s="46">
        <f t="shared" si="3"/>
        <v>185440.97473900003</v>
      </c>
      <c r="M11" s="46">
        <f t="shared" si="4"/>
        <v>161323.816356</v>
      </c>
      <c r="N11" s="46">
        <f t="shared" si="5"/>
        <v>26344865.650799997</v>
      </c>
      <c r="O11" s="48">
        <v>6.18</v>
      </c>
      <c r="P11" s="48">
        <v>6.9</v>
      </c>
      <c r="Q11" s="48">
        <v>8.66</v>
      </c>
      <c r="R11" s="48">
        <v>-9.52</v>
      </c>
      <c r="S11" s="48">
        <v>4.6100000000000003</v>
      </c>
      <c r="T11" s="48">
        <v>3.3660000000000005</v>
      </c>
    </row>
    <row r="12" spans="1:21" x14ac:dyDescent="0.35">
      <c r="A12" s="38" t="s">
        <v>12</v>
      </c>
      <c r="B12" s="38">
        <v>4.76</v>
      </c>
      <c r="C12" s="44">
        <v>5.12</v>
      </c>
      <c r="D12" s="44">
        <v>5.25</v>
      </c>
      <c r="E12" s="44">
        <v>5.3</v>
      </c>
      <c r="F12" s="44">
        <v>6.29</v>
      </c>
      <c r="G12" s="44">
        <v>6.2</v>
      </c>
      <c r="H12" s="44">
        <f t="shared" si="6"/>
        <v>5.4866666666666672</v>
      </c>
      <c r="I12" s="46">
        <f t="shared" si="0"/>
        <v>122598.46479999999</v>
      </c>
      <c r="J12" s="46">
        <f t="shared" si="1"/>
        <v>139184.45260799999</v>
      </c>
      <c r="K12" s="46">
        <f t="shared" si="2"/>
        <v>153358.45560000002</v>
      </c>
      <c r="L12" s="46">
        <f t="shared" si="3"/>
        <v>161917.16081</v>
      </c>
      <c r="M12" s="46">
        <f t="shared" si="4"/>
        <v>181850.68187799997</v>
      </c>
      <c r="N12" s="46">
        <f t="shared" si="5"/>
        <v>28960667.914000001</v>
      </c>
      <c r="O12" s="48">
        <v>11.35</v>
      </c>
      <c r="P12" s="48">
        <v>10.57</v>
      </c>
      <c r="Q12" s="48">
        <v>7.17</v>
      </c>
      <c r="R12" s="48">
        <v>17.32</v>
      </c>
      <c r="S12" s="48">
        <v>2.21</v>
      </c>
      <c r="T12" s="48">
        <v>9.7240000000000002</v>
      </c>
    </row>
    <row r="13" spans="1:21" x14ac:dyDescent="0.35">
      <c r="A13" s="38" t="s">
        <v>13</v>
      </c>
      <c r="B13" s="38">
        <v>5.15</v>
      </c>
      <c r="C13" s="44">
        <v>5.19</v>
      </c>
      <c r="D13" s="44">
        <v>5.15</v>
      </c>
      <c r="E13" s="44">
        <v>5.0599999999999996</v>
      </c>
      <c r="F13" s="44">
        <v>5.19</v>
      </c>
      <c r="G13" s="44">
        <v>5.17</v>
      </c>
      <c r="H13" s="44">
        <f t="shared" si="6"/>
        <v>5.1516666666666673</v>
      </c>
      <c r="I13" s="46">
        <f t="shared" si="0"/>
        <v>132643.29700000002</v>
      </c>
      <c r="J13" s="46">
        <f t="shared" si="1"/>
        <v>141087.36504599999</v>
      </c>
      <c r="K13" s="46">
        <f t="shared" si="2"/>
        <v>150437.34216</v>
      </c>
      <c r="L13" s="46">
        <f t="shared" si="3"/>
        <v>154585.062962</v>
      </c>
      <c r="M13" s="46">
        <f t="shared" si="4"/>
        <v>150048.49585800001</v>
      </c>
      <c r="N13" s="46">
        <f t="shared" si="5"/>
        <v>24149460.179899998</v>
      </c>
      <c r="O13" s="48">
        <v>4.67</v>
      </c>
      <c r="P13" s="48">
        <v>3.55</v>
      </c>
      <c r="Q13" s="48">
        <v>3.79</v>
      </c>
      <c r="R13" s="48">
        <v>1.2</v>
      </c>
      <c r="S13" s="48">
        <v>0.8</v>
      </c>
      <c r="T13" s="48">
        <v>2.8019999999999996</v>
      </c>
    </row>
    <row r="14" spans="1:21" x14ac:dyDescent="0.35">
      <c r="A14" s="38" t="s">
        <v>14</v>
      </c>
      <c r="B14" s="38">
        <v>3.21</v>
      </c>
      <c r="C14" s="44">
        <v>3.18</v>
      </c>
      <c r="D14" s="44">
        <v>3.2</v>
      </c>
      <c r="E14" s="44">
        <v>3.13</v>
      </c>
      <c r="F14" s="44">
        <v>3.17</v>
      </c>
      <c r="G14" s="44">
        <v>3.1</v>
      </c>
      <c r="H14" s="44">
        <f t="shared" si="6"/>
        <v>3.1649999999999996</v>
      </c>
      <c r="I14" s="46">
        <f t="shared" si="0"/>
        <v>82676.695800000001</v>
      </c>
      <c r="J14" s="46">
        <f t="shared" si="1"/>
        <v>86446.593611999997</v>
      </c>
      <c r="K14" s="46">
        <f t="shared" si="2"/>
        <v>93475.630079999988</v>
      </c>
      <c r="L14" s="46">
        <f t="shared" si="3"/>
        <v>95622.776100999996</v>
      </c>
      <c r="M14" s="46">
        <f t="shared" si="4"/>
        <v>91648.117893999995</v>
      </c>
      <c r="N14" s="46">
        <f t="shared" si="5"/>
        <v>14480333.957</v>
      </c>
      <c r="O14" s="48">
        <v>4.71</v>
      </c>
      <c r="P14" s="48">
        <v>5.46</v>
      </c>
      <c r="Q14" s="48">
        <v>3.42</v>
      </c>
      <c r="R14" s="48">
        <v>-0.46</v>
      </c>
      <c r="S14" s="48">
        <v>2.14</v>
      </c>
      <c r="T14" s="48">
        <v>3.0539999999999998</v>
      </c>
    </row>
    <row r="15" spans="1:21" x14ac:dyDescent="0.35">
      <c r="A15" s="38" t="s">
        <v>15</v>
      </c>
      <c r="B15" s="38">
        <v>0.35</v>
      </c>
      <c r="C15" s="44">
        <v>0.36</v>
      </c>
      <c r="D15" s="44">
        <v>0.37</v>
      </c>
      <c r="E15" s="44">
        <v>0.39</v>
      </c>
      <c r="F15" s="44">
        <v>0.38</v>
      </c>
      <c r="G15" s="44">
        <v>0.37</v>
      </c>
      <c r="H15" s="44">
        <f t="shared" si="6"/>
        <v>0.37000000000000005</v>
      </c>
      <c r="I15" s="46">
        <f t="shared" si="0"/>
        <v>9014.5929999999989</v>
      </c>
      <c r="J15" s="46">
        <f t="shared" si="1"/>
        <v>9786.4068239999997</v>
      </c>
      <c r="K15" s="46">
        <f t="shared" si="2"/>
        <v>10808.119727999998</v>
      </c>
      <c r="L15" s="46">
        <f t="shared" si="3"/>
        <v>11914.659003000001</v>
      </c>
      <c r="M15" s="46">
        <f t="shared" si="4"/>
        <v>10986.209716000001</v>
      </c>
      <c r="N15" s="46">
        <f t="shared" si="5"/>
        <v>1728297.9238999998</v>
      </c>
      <c r="O15" s="48">
        <v>7.84</v>
      </c>
      <c r="P15" s="48">
        <v>8.16</v>
      </c>
      <c r="Q15" s="48">
        <v>8.68</v>
      </c>
      <c r="R15" s="48">
        <v>-6.25</v>
      </c>
      <c r="S15" s="48">
        <v>1.45</v>
      </c>
      <c r="T15" s="48">
        <v>3.976</v>
      </c>
    </row>
    <row r="16" spans="1:21" x14ac:dyDescent="0.35">
      <c r="A16" s="38" t="s">
        <v>16</v>
      </c>
      <c r="B16" s="38">
        <v>12.04</v>
      </c>
      <c r="C16" s="44">
        <v>11.74</v>
      </c>
      <c r="D16" s="44">
        <v>11.38</v>
      </c>
      <c r="E16" s="44">
        <v>11.11</v>
      </c>
      <c r="F16" s="44">
        <v>11.22</v>
      </c>
      <c r="G16" s="44">
        <v>10.87</v>
      </c>
      <c r="H16" s="44">
        <f t="shared" si="6"/>
        <v>11.393333333333333</v>
      </c>
      <c r="I16" s="46">
        <f t="shared" si="0"/>
        <v>310101.99919999996</v>
      </c>
      <c r="J16" s="46">
        <f t="shared" si="1"/>
        <v>319145.600316</v>
      </c>
      <c r="K16" s="46">
        <f t="shared" si="2"/>
        <v>332422.70947200002</v>
      </c>
      <c r="L16" s="46">
        <f t="shared" si="3"/>
        <v>339415.02954700001</v>
      </c>
      <c r="M16" s="46">
        <f t="shared" si="4"/>
        <v>324382.29740400001</v>
      </c>
      <c r="N16" s="46">
        <f t="shared" si="5"/>
        <v>50774590.358899996</v>
      </c>
      <c r="O16" s="48">
        <v>2.2799999999999998</v>
      </c>
      <c r="P16" s="48">
        <v>3.37</v>
      </c>
      <c r="Q16" s="48">
        <v>3.42</v>
      </c>
      <c r="R16" s="48">
        <v>-1.58</v>
      </c>
      <c r="S16" s="48">
        <v>1.66</v>
      </c>
      <c r="T16" s="48">
        <v>1.83</v>
      </c>
    </row>
    <row r="17" spans="1:20" x14ac:dyDescent="0.35">
      <c r="A17" s="38" t="s">
        <v>17</v>
      </c>
      <c r="B17" s="38">
        <v>7.54</v>
      </c>
      <c r="C17" s="44">
        <v>7.76</v>
      </c>
      <c r="D17" s="44">
        <v>7.84</v>
      </c>
      <c r="E17" s="44">
        <v>7.95</v>
      </c>
      <c r="F17" s="44">
        <v>8.2200000000000006</v>
      </c>
      <c r="G17" s="44">
        <v>8.07</v>
      </c>
      <c r="H17" s="44">
        <f t="shared" si="6"/>
        <v>7.8966666666666674</v>
      </c>
      <c r="I17" s="46">
        <f t="shared" si="0"/>
        <v>194200.08920000002</v>
      </c>
      <c r="J17" s="46">
        <f t="shared" si="1"/>
        <v>210951.43598399998</v>
      </c>
      <c r="K17" s="46">
        <f t="shared" si="2"/>
        <v>229015.29369599998</v>
      </c>
      <c r="L17" s="46">
        <f t="shared" si="3"/>
        <v>242875.74121500002</v>
      </c>
      <c r="M17" s="46">
        <f t="shared" si="4"/>
        <v>237649.06280400002</v>
      </c>
      <c r="N17" s="46">
        <f t="shared" si="5"/>
        <v>37695579.042899996</v>
      </c>
      <c r="O17" s="48">
        <v>7.1</v>
      </c>
      <c r="P17" s="48">
        <v>6.11</v>
      </c>
      <c r="Q17" s="48">
        <v>6.03</v>
      </c>
      <c r="R17" s="48">
        <v>-0.2</v>
      </c>
      <c r="S17" s="48">
        <v>2.36</v>
      </c>
      <c r="T17" s="48">
        <v>4.28</v>
      </c>
    </row>
    <row r="18" spans="1:20" x14ac:dyDescent="0.35">
      <c r="A18" s="38" t="s">
        <v>18</v>
      </c>
      <c r="B18" s="38">
        <v>2.79</v>
      </c>
      <c r="C18" s="44">
        <v>2.84</v>
      </c>
      <c r="D18" s="44">
        <v>2.88</v>
      </c>
      <c r="E18" s="44">
        <v>2.9</v>
      </c>
      <c r="F18" s="44">
        <v>3.28</v>
      </c>
      <c r="G18" s="44">
        <v>3.16</v>
      </c>
      <c r="H18" s="44">
        <f t="shared" si="6"/>
        <v>2.9750000000000001</v>
      </c>
      <c r="I18" s="46">
        <f t="shared" si="0"/>
        <v>71859.184200000003</v>
      </c>
      <c r="J18" s="46">
        <f t="shared" si="1"/>
        <v>77203.876055999994</v>
      </c>
      <c r="K18" s="46">
        <f t="shared" si="2"/>
        <v>84128.067072000005</v>
      </c>
      <c r="L18" s="46">
        <f t="shared" si="3"/>
        <v>88596.182329999996</v>
      </c>
      <c r="M18" s="46">
        <f t="shared" si="4"/>
        <v>94828.336495999989</v>
      </c>
      <c r="N18" s="46">
        <f t="shared" si="5"/>
        <v>14760598.485199999</v>
      </c>
      <c r="O18" s="48">
        <v>8.7200000000000006</v>
      </c>
      <c r="P18" s="48">
        <v>7.82</v>
      </c>
      <c r="Q18" s="48">
        <v>6.36</v>
      </c>
      <c r="R18" s="48">
        <v>8.6300000000000008</v>
      </c>
      <c r="S18" s="48">
        <v>0.84</v>
      </c>
      <c r="T18" s="48">
        <v>6.4740000000000011</v>
      </c>
    </row>
    <row r="19" spans="1:20" x14ac:dyDescent="0.35">
      <c r="A19" s="38" t="s">
        <v>19</v>
      </c>
      <c r="B19" s="39">
        <v>2</v>
      </c>
      <c r="C19" s="44">
        <v>2.06</v>
      </c>
      <c r="D19" s="44">
        <v>2.1</v>
      </c>
      <c r="E19" s="44">
        <v>2.15</v>
      </c>
      <c r="F19" s="44">
        <v>2.04</v>
      </c>
      <c r="G19" s="44">
        <v>1.97</v>
      </c>
      <c r="H19" s="44">
        <f t="shared" si="6"/>
        <v>2.0533333333333337</v>
      </c>
      <c r="I19" s="46">
        <f t="shared" si="0"/>
        <v>51511.96</v>
      </c>
      <c r="J19" s="46">
        <f t="shared" si="1"/>
        <v>55999.994604</v>
      </c>
      <c r="K19" s="46">
        <f t="shared" si="2"/>
        <v>61343.382240000006</v>
      </c>
      <c r="L19" s="46">
        <f t="shared" si="3"/>
        <v>65683.376554999995</v>
      </c>
      <c r="M19" s="46">
        <f t="shared" si="4"/>
        <v>58978.599527999999</v>
      </c>
      <c r="N19" s="46">
        <f t="shared" si="5"/>
        <v>9202018.6758999992</v>
      </c>
      <c r="O19" s="48">
        <v>9.26</v>
      </c>
      <c r="P19" s="48">
        <v>9.3000000000000007</v>
      </c>
      <c r="Q19" s="48">
        <v>8.84</v>
      </c>
      <c r="R19" s="48">
        <v>-7.03</v>
      </c>
      <c r="S19" s="48">
        <v>1.04</v>
      </c>
      <c r="T19" s="48">
        <v>4.282</v>
      </c>
    </row>
    <row r="20" spans="1:20" x14ac:dyDescent="0.35">
      <c r="A20" s="38" t="s">
        <v>107</v>
      </c>
      <c r="B20" s="44">
        <v>2575598</v>
      </c>
      <c r="C20" s="44">
        <v>2718446.34</v>
      </c>
      <c r="D20" s="44">
        <v>2921113.44</v>
      </c>
      <c r="E20" s="44">
        <v>3055040.77</v>
      </c>
      <c r="F20" s="44">
        <v>2891107.82</v>
      </c>
      <c r="G20" s="44">
        <v>4671075.47</v>
      </c>
      <c r="H20" s="58">
        <f t="shared" si="6"/>
        <v>3138730.3066666666</v>
      </c>
      <c r="I20" s="46">
        <f>B20</f>
        <v>2575598</v>
      </c>
      <c r="J20" s="46">
        <f t="shared" ref="J20:N20" si="7">C20</f>
        <v>2718446.34</v>
      </c>
      <c r="K20" s="46">
        <f t="shared" si="7"/>
        <v>2921113.44</v>
      </c>
      <c r="L20" s="46">
        <f t="shared" si="7"/>
        <v>3055040.77</v>
      </c>
      <c r="M20" s="46">
        <f t="shared" si="7"/>
        <v>2891107.82</v>
      </c>
      <c r="N20" s="46">
        <f t="shared" si="7"/>
        <v>4671075.47</v>
      </c>
      <c r="O20" s="49"/>
      <c r="P20" s="49"/>
      <c r="Q20" s="49"/>
      <c r="R20" s="49"/>
      <c r="S20" s="49"/>
      <c r="T20" s="49"/>
    </row>
    <row r="22" spans="1:20" ht="15.5" x14ac:dyDescent="0.35">
      <c r="A22" s="16" t="s">
        <v>20</v>
      </c>
      <c r="B22" s="17">
        <v>6513894.6799999997</v>
      </c>
      <c r="C22" s="17">
        <v>6312054.4100000001</v>
      </c>
      <c r="D22" s="17">
        <v>6470539.5099999998</v>
      </c>
      <c r="E22" s="17">
        <v>6138622.75</v>
      </c>
      <c r="F22" s="17">
        <v>5820532</v>
      </c>
      <c r="G22" s="17">
        <v>5521525.54</v>
      </c>
      <c r="H22" s="18">
        <v>5521525.54</v>
      </c>
    </row>
    <row r="30" spans="1:20" x14ac:dyDescent="0.35">
      <c r="A30" s="62"/>
    </row>
    <row r="31" spans="1:20" x14ac:dyDescent="0.35">
      <c r="A31" s="62"/>
    </row>
    <row r="32" spans="1:20" x14ac:dyDescent="0.35">
      <c r="A32" s="62"/>
    </row>
    <row r="33" spans="1:1" x14ac:dyDescent="0.35">
      <c r="A33" s="62"/>
    </row>
    <row r="34" spans="1:1" x14ac:dyDescent="0.35">
      <c r="A34" s="62"/>
    </row>
    <row r="35" spans="1:1" x14ac:dyDescent="0.35">
      <c r="A35" s="62"/>
    </row>
    <row r="36" spans="1:1" ht="13.5" customHeight="1" x14ac:dyDescent="0.35">
      <c r="A36" s="62"/>
    </row>
    <row r="37" spans="1:1" x14ac:dyDescent="0.35">
      <c r="A37" s="62"/>
    </row>
    <row r="38" spans="1:1" x14ac:dyDescent="0.35">
      <c r="A38" s="62"/>
    </row>
    <row r="39" spans="1:1" x14ac:dyDescent="0.35">
      <c r="A39" s="62"/>
    </row>
    <row r="40" spans="1:1" ht="17.5" customHeight="1" x14ac:dyDescent="0.35">
      <c r="A40" s="62"/>
    </row>
    <row r="41" spans="1:1" ht="15.5" customHeight="1" x14ac:dyDescent="0.35">
      <c r="A41" s="62"/>
    </row>
    <row r="42" spans="1:1" ht="15.5" customHeight="1" x14ac:dyDescent="0.35">
      <c r="A42" s="62"/>
    </row>
    <row r="43" spans="1:1" x14ac:dyDescent="0.35">
      <c r="A43" s="63"/>
    </row>
    <row r="45" spans="1:1" ht="20.5" customHeight="1" x14ac:dyDescent="0.35"/>
    <row r="46" spans="1:1" ht="14.5" customHeight="1" x14ac:dyDescent="0.35"/>
    <row r="47" spans="1:1" ht="14.5" customHeight="1" x14ac:dyDescent="0.35"/>
    <row r="60" ht="14.5" customHeight="1" x14ac:dyDescent="0.35"/>
  </sheetData>
  <mergeCells count="3">
    <mergeCell ref="A1:A2"/>
    <mergeCell ref="B1:G1"/>
    <mergeCell ref="I1:N1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288F-0048-474A-B949-9D21B1C073E8}">
  <dimension ref="A1:U41"/>
  <sheetViews>
    <sheetView topLeftCell="B1" workbookViewId="0">
      <selection activeCell="F31" sqref="F31"/>
    </sheetView>
  </sheetViews>
  <sheetFormatPr defaultRowHeight="14.5" x14ac:dyDescent="0.35"/>
  <cols>
    <col min="1" max="1" width="63" bestFit="1" customWidth="1"/>
    <col min="2" max="6" width="17.54296875" bestFit="1" customWidth="1"/>
    <col min="7" max="7" width="10.54296875" customWidth="1"/>
    <col min="8" max="8" width="8.90625" customWidth="1"/>
    <col min="9" max="9" width="9.81640625" customWidth="1"/>
    <col min="10" max="10" width="10" customWidth="1"/>
    <col min="11" max="11" width="9.26953125" customWidth="1"/>
    <col min="12" max="12" width="10.7265625" customWidth="1"/>
    <col min="13" max="13" width="11.36328125" customWidth="1"/>
    <col min="14" max="14" width="8.7265625" customWidth="1"/>
  </cols>
  <sheetData>
    <row r="1" spans="1:13" x14ac:dyDescent="0.35">
      <c r="A1" s="116" t="s">
        <v>108</v>
      </c>
      <c r="B1" s="135">
        <v>2016</v>
      </c>
      <c r="C1" s="136"/>
      <c r="D1" s="135">
        <v>2017</v>
      </c>
      <c r="E1" s="136"/>
      <c r="F1" s="135">
        <v>2018</v>
      </c>
      <c r="G1" s="136"/>
      <c r="H1" s="135">
        <v>2019</v>
      </c>
      <c r="I1" s="136"/>
      <c r="J1" s="135">
        <v>2020</v>
      </c>
      <c r="K1" s="136"/>
      <c r="L1" s="135">
        <v>2021</v>
      </c>
      <c r="M1" s="136"/>
    </row>
    <row r="2" spans="1:13" x14ac:dyDescent="0.35">
      <c r="A2" s="116"/>
      <c r="B2" s="137"/>
      <c r="C2" s="138"/>
      <c r="D2" s="137"/>
      <c r="E2" s="138"/>
      <c r="F2" s="137"/>
      <c r="G2" s="138"/>
      <c r="H2" s="137"/>
      <c r="I2" s="138"/>
      <c r="J2" s="137"/>
      <c r="K2" s="138"/>
      <c r="L2" s="137"/>
      <c r="M2" s="138"/>
    </row>
    <row r="3" spans="1:13" x14ac:dyDescent="0.35">
      <c r="A3" s="116"/>
      <c r="B3" s="57" t="s">
        <v>105</v>
      </c>
      <c r="C3" s="57" t="s">
        <v>106</v>
      </c>
      <c r="D3" s="57" t="s">
        <v>105</v>
      </c>
      <c r="E3" s="57" t="s">
        <v>106</v>
      </c>
      <c r="F3" s="57" t="s">
        <v>105</v>
      </c>
      <c r="G3" s="57" t="s">
        <v>106</v>
      </c>
      <c r="H3" s="57" t="s">
        <v>105</v>
      </c>
      <c r="I3" s="57" t="s">
        <v>106</v>
      </c>
      <c r="J3" s="57" t="s">
        <v>105</v>
      </c>
      <c r="K3" s="57" t="s">
        <v>106</v>
      </c>
      <c r="L3" s="57" t="s">
        <v>105</v>
      </c>
      <c r="M3" s="57" t="s">
        <v>106</v>
      </c>
    </row>
    <row r="4" spans="1:13" ht="13" customHeight="1" x14ac:dyDescent="0.35">
      <c r="A4" s="38" t="s">
        <v>3</v>
      </c>
      <c r="B4">
        <f>LQ!H4</f>
        <v>106735.73</v>
      </c>
      <c r="C4" s="61">
        <f>'RASIO INVESTASI'!I3</f>
        <v>49966.601200000005</v>
      </c>
      <c r="D4" s="59">
        <f>LQ!F4</f>
        <v>108869.6</v>
      </c>
      <c r="E4" s="64">
        <f>'RASIO INVESTASI'!J3</f>
        <v>50563.101924000002</v>
      </c>
      <c r="F4" s="72">
        <f>LQ!E4</f>
        <v>109809.02</v>
      </c>
      <c r="G4" s="61">
        <f>'RASIO INVESTASI'!K3</f>
        <v>52580.041919999996</v>
      </c>
      <c r="H4" s="60">
        <f>LQ!D4</f>
        <v>115481.55</v>
      </c>
      <c r="I4" s="61">
        <f>'RASIO INVESTASI'!L3</f>
        <v>55296.237937000005</v>
      </c>
      <c r="J4" s="60">
        <f>LQ!C4</f>
        <v>116340.03</v>
      </c>
      <c r="K4" s="61">
        <f>'RASIO INVESTASI'!M3</f>
        <v>53774.605451999996</v>
      </c>
      <c r="L4" s="77">
        <f>LQ!B4</f>
        <v>116787.02</v>
      </c>
      <c r="M4" s="76">
        <f>'RASIO INVESTASI'!I3</f>
        <v>49966.601200000005</v>
      </c>
    </row>
    <row r="5" spans="1:13" ht="15.5" x14ac:dyDescent="0.35">
      <c r="A5" s="5" t="s">
        <v>4</v>
      </c>
      <c r="B5">
        <f>LQ!H5</f>
        <v>0</v>
      </c>
      <c r="C5" s="61">
        <f>'RASIO INVESTASI'!I4</f>
        <v>0</v>
      </c>
      <c r="D5" s="59">
        <f>LQ!F5</f>
        <v>0</v>
      </c>
      <c r="E5" s="64">
        <f>'RASIO INVESTASI'!J4</f>
        <v>0</v>
      </c>
      <c r="F5" s="72">
        <f>LQ!E5</f>
        <v>0</v>
      </c>
      <c r="G5" s="61">
        <f>'RASIO INVESTASI'!K4</f>
        <v>0</v>
      </c>
      <c r="H5" s="60">
        <f>LQ!D5</f>
        <v>0</v>
      </c>
      <c r="I5" s="61">
        <f>'RASIO INVESTASI'!L4</f>
        <v>0</v>
      </c>
      <c r="J5" s="60">
        <f>LQ!C5</f>
        <v>0</v>
      </c>
      <c r="K5" s="61">
        <f>'RASIO INVESTASI'!M4</f>
        <v>0</v>
      </c>
      <c r="L5" s="77">
        <f>LQ!B5</f>
        <v>0</v>
      </c>
      <c r="M5" s="76">
        <f>'RASIO INVESTASI'!I4</f>
        <v>0</v>
      </c>
    </row>
    <row r="6" spans="1:13" ht="15.5" x14ac:dyDescent="0.35">
      <c r="A6" s="5" t="s">
        <v>5</v>
      </c>
      <c r="B6">
        <f>LQ!H6</f>
        <v>828143.74</v>
      </c>
      <c r="C6" s="61">
        <f>'RASIO INVESTASI'!I5</f>
        <v>416731.75640000001</v>
      </c>
      <c r="D6" s="59">
        <f>LQ!F6</f>
        <v>864272.22</v>
      </c>
      <c r="E6" s="64">
        <f>'RASIO INVESTASI'!J5</f>
        <v>436582.48220399988</v>
      </c>
      <c r="F6" s="72">
        <f>LQ!E6</f>
        <v>894350.14</v>
      </c>
      <c r="G6" s="61">
        <f>'RASIO INVESTASI'!K5</f>
        <v>462120.14620800002</v>
      </c>
      <c r="H6" s="60">
        <f>LQ!D6</f>
        <v>934870.61</v>
      </c>
      <c r="I6" s="61">
        <f>'RASIO INVESTASI'!L5</f>
        <v>477197.36827400001</v>
      </c>
      <c r="J6" s="60">
        <f>LQ!C6</f>
        <v>932910.91</v>
      </c>
      <c r="K6" s="61">
        <f>'RASIO INVESTASI'!M5</f>
        <v>466335.69136599993</v>
      </c>
      <c r="L6" s="77">
        <f>LQ!B6</f>
        <v>976664.1</v>
      </c>
      <c r="M6" s="76">
        <f>'RASIO INVESTASI'!I5</f>
        <v>416731.75640000001</v>
      </c>
    </row>
    <row r="7" spans="1:13" ht="15.5" x14ac:dyDescent="0.35">
      <c r="A7" s="5" t="s">
        <v>6</v>
      </c>
      <c r="B7">
        <f>LQ!H7</f>
        <v>19086.34</v>
      </c>
      <c r="C7" s="61">
        <f>'RASIO INVESTASI'!I6</f>
        <v>7211.6744000000008</v>
      </c>
      <c r="D7" s="59">
        <f>LQ!F7</f>
        <v>19887.099999999999</v>
      </c>
      <c r="E7" s="64">
        <f>'RASIO INVESTASI'!J6</f>
        <v>7883.4943859999985</v>
      </c>
      <c r="F7" s="72">
        <f>LQ!E7</f>
        <v>21149.94</v>
      </c>
      <c r="G7" s="61">
        <f>'RASIO INVESTASI'!K6</f>
        <v>8763.3403199999993</v>
      </c>
      <c r="H7" s="60">
        <f>LQ!D7</f>
        <v>22379.919999999998</v>
      </c>
      <c r="I7" s="61">
        <f>'RASIO INVESTASI'!L6</f>
        <v>8859.6182329999992</v>
      </c>
      <c r="J7" s="60">
        <f>LQ!C7</f>
        <v>22782.58</v>
      </c>
      <c r="K7" s="61">
        <f>'RASIO INVESTASI'!M6</f>
        <v>8673.3234599999996</v>
      </c>
      <c r="L7" s="77">
        <f>LQ!B7</f>
        <v>24999.35</v>
      </c>
      <c r="M7" s="76">
        <f>'RASIO INVESTASI'!I6</f>
        <v>7211.6744000000008</v>
      </c>
    </row>
    <row r="8" spans="1:13" ht="15.5" x14ac:dyDescent="0.35">
      <c r="A8" s="5" t="s">
        <v>7</v>
      </c>
      <c r="B8">
        <f>LQ!H8</f>
        <v>7868.22</v>
      </c>
      <c r="C8" s="61">
        <f>'RASIO INVESTASI'!I7</f>
        <v>3348.2773999999999</v>
      </c>
      <c r="D8" s="59">
        <f>LQ!F8</f>
        <v>8228.4</v>
      </c>
      <c r="E8" s="64">
        <f>'RASIO INVESTASI'!J7</f>
        <v>3262.1356079999996</v>
      </c>
      <c r="F8" s="72">
        <f>LQ!E8</f>
        <v>8569.2999999999993</v>
      </c>
      <c r="G8" s="61">
        <f>'RASIO INVESTASI'!K7</f>
        <v>3505.3361279999999</v>
      </c>
      <c r="H8" s="60">
        <f>LQ!D8</f>
        <v>8914.8700000000008</v>
      </c>
      <c r="I8" s="61">
        <f>'RASIO INVESTASI'!L7</f>
        <v>3666.0489240000002</v>
      </c>
      <c r="J8" s="60">
        <f>LQ!C8</f>
        <v>8872.9699999999993</v>
      </c>
      <c r="K8" s="61">
        <f>'RASIO INVESTASI'!M7</f>
        <v>3758.4401659999999</v>
      </c>
      <c r="L8" s="77">
        <f>LQ!B8</f>
        <v>8891.0300000000007</v>
      </c>
      <c r="M8" s="76">
        <f>'RASIO INVESTASI'!I7</f>
        <v>3348.2773999999999</v>
      </c>
    </row>
    <row r="9" spans="1:13" ht="15.5" x14ac:dyDescent="0.35">
      <c r="A9" s="5" t="s">
        <v>8</v>
      </c>
      <c r="B9">
        <f>LQ!H9</f>
        <v>907490.87</v>
      </c>
      <c r="C9" s="61">
        <f>'RASIO INVESTASI'!I8</f>
        <v>426519.02879999997</v>
      </c>
      <c r="D9" s="59">
        <f>LQ!F9</f>
        <v>952201.56</v>
      </c>
      <c r="E9" s="64">
        <f>'RASIO INVESTASI'!J8</f>
        <v>448815.49073399999</v>
      </c>
      <c r="F9" s="72">
        <f>LQ!E9</f>
        <v>1000726.27</v>
      </c>
      <c r="G9" s="61">
        <f>'RASIO INVESTASI'!K8</f>
        <v>490454.94657599996</v>
      </c>
      <c r="H9" s="60">
        <f>LQ!D9</f>
        <v>1041119.08</v>
      </c>
      <c r="I9" s="61">
        <f>'RASIO INVESTASI'!L8</f>
        <v>512024.83305200003</v>
      </c>
      <c r="J9" s="60">
        <f>LQ!C9</f>
        <v>1021386.06</v>
      </c>
      <c r="K9" s="61">
        <f>'RASIO INVESTASI'!M8</f>
        <v>482236.78437599994</v>
      </c>
      <c r="L9" s="77">
        <f>LQ!B9</f>
        <v>1054427.43</v>
      </c>
      <c r="M9" s="76">
        <f>'RASIO INVESTASI'!I8</f>
        <v>426519.02879999997</v>
      </c>
    </row>
    <row r="10" spans="1:13" ht="15.5" x14ac:dyDescent="0.35">
      <c r="A10" s="6" t="s">
        <v>9</v>
      </c>
      <c r="B10">
        <f>LQ!H10</f>
        <v>844737.97</v>
      </c>
      <c r="C10" s="61">
        <f>'RASIO INVESTASI'!I9</f>
        <v>369598.31299999997</v>
      </c>
      <c r="D10" s="59">
        <f>LQ!F10</f>
        <v>889686.2</v>
      </c>
      <c r="E10" s="64">
        <f>'RASIO INVESTASI'!J9</f>
        <v>388465.98198599997</v>
      </c>
      <c r="F10" s="72">
        <f>LQ!E10</f>
        <v>941850.09</v>
      </c>
      <c r="G10" s="61">
        <f>'RASIO INVESTASI'!K9</f>
        <v>420640.33535999997</v>
      </c>
      <c r="H10" s="60">
        <f>LQ!D10</f>
        <v>994030.89</v>
      </c>
      <c r="I10" s="61">
        <f>'RASIO INVESTASI'!L9</f>
        <v>443286.41572699999</v>
      </c>
      <c r="J10" s="60">
        <f>LQ!C10</f>
        <v>959216.92</v>
      </c>
      <c r="K10" s="61">
        <f>'RASIO INVESTASI'!M9</f>
        <v>413717.52904200001</v>
      </c>
      <c r="L10" s="77">
        <f>LQ!B10</f>
        <v>1010890.66</v>
      </c>
      <c r="M10" s="76">
        <f>'RASIO INVESTASI'!I9</f>
        <v>369598.31299999997</v>
      </c>
    </row>
    <row r="11" spans="1:13" ht="15.5" x14ac:dyDescent="0.35">
      <c r="A11" s="5" t="s">
        <v>10</v>
      </c>
      <c r="B11">
        <f>LQ!H11</f>
        <v>418762</v>
      </c>
      <c r="C11" s="61">
        <f>'RASIO INVESTASI'!I10</f>
        <v>173852.86499999999</v>
      </c>
      <c r="D11" s="59">
        <f>LQ!F11</f>
        <v>443250.98</v>
      </c>
      <c r="E11" s="64">
        <f>'RASIO INVESTASI'!J10</f>
        <v>181864.060146</v>
      </c>
      <c r="F11" s="72">
        <f>LQ!E11</f>
        <v>472092.23</v>
      </c>
      <c r="G11" s="61">
        <f>'RASIO INVESTASI'!K10</f>
        <v>194546.155104</v>
      </c>
      <c r="H11" s="60">
        <f>LQ!D11</f>
        <v>511366.87</v>
      </c>
      <c r="I11" s="61">
        <f>'RASIO INVESTASI'!L10</f>
        <v>208964.78866799999</v>
      </c>
      <c r="J11" s="60">
        <f>LQ!C11</f>
        <v>371393.25</v>
      </c>
      <c r="K11" s="61">
        <f>'RASIO INVESTASI'!M10</f>
        <v>150337.60663999998</v>
      </c>
      <c r="L11" s="77">
        <f>LQ!B11</f>
        <v>381908.37</v>
      </c>
      <c r="M11" s="76">
        <f>'RASIO INVESTASI'!I10</f>
        <v>173852.86499999999</v>
      </c>
    </row>
    <row r="12" spans="1:13" ht="15.5" x14ac:dyDescent="0.35">
      <c r="A12" s="5" t="s">
        <v>11</v>
      </c>
      <c r="B12">
        <f>LQ!H12</f>
        <v>318041.12</v>
      </c>
      <c r="C12" s="61">
        <f>'RASIO INVESTASI'!I11</f>
        <v>154020.7604</v>
      </c>
      <c r="D12" s="59">
        <f>LQ!F12</f>
        <v>337687.35</v>
      </c>
      <c r="E12" s="64">
        <f>'RASIO INVESTASI'!J11</f>
        <v>160932.02332799998</v>
      </c>
      <c r="F12" s="72">
        <f>LQ!E12</f>
        <v>360973.97</v>
      </c>
      <c r="G12" s="61">
        <f>'RASIO INVESTASI'!K11</f>
        <v>173222.026992</v>
      </c>
      <c r="H12" s="60">
        <f>LQ!D12</f>
        <v>392225.82</v>
      </c>
      <c r="I12" s="61">
        <f>'RASIO INVESTASI'!L11</f>
        <v>185440.97473900003</v>
      </c>
      <c r="J12" s="60">
        <f>LQ!C12</f>
        <v>354869.82</v>
      </c>
      <c r="K12" s="61">
        <f>'RASIO INVESTASI'!M11</f>
        <v>161323.816356</v>
      </c>
      <c r="L12" s="77">
        <f>LQ!B12</f>
        <v>371237.65</v>
      </c>
      <c r="M12" s="76">
        <f>'RASIO INVESTASI'!I11</f>
        <v>154020.7604</v>
      </c>
    </row>
    <row r="13" spans="1:13" ht="15.5" x14ac:dyDescent="0.35">
      <c r="A13" s="5" t="s">
        <v>12</v>
      </c>
      <c r="B13">
        <f>LQ!H13</f>
        <v>347340.64</v>
      </c>
      <c r="C13" s="61">
        <f>'RASIO INVESTASI'!I12</f>
        <v>122598.46479999999</v>
      </c>
      <c r="D13" s="59">
        <f>LQ!F13</f>
        <v>386751.83</v>
      </c>
      <c r="E13" s="64">
        <f>'RASIO INVESTASI'!J12</f>
        <v>139184.45260799999</v>
      </c>
      <c r="F13" s="72">
        <f>LQ!E13</f>
        <v>427612.45</v>
      </c>
      <c r="G13" s="61">
        <f>'RASIO INVESTASI'!K12</f>
        <v>153358.45560000002</v>
      </c>
      <c r="H13" s="60">
        <f>LQ!D13</f>
        <v>458256.15</v>
      </c>
      <c r="I13" s="61">
        <f>'RASIO INVESTASI'!L12</f>
        <v>161917.16081</v>
      </c>
      <c r="J13" s="60">
        <f>LQ!C13</f>
        <v>537630.69999999995</v>
      </c>
      <c r="K13" s="61">
        <f>'RASIO INVESTASI'!M12</f>
        <v>181850.68187799997</v>
      </c>
      <c r="L13" s="77">
        <f>LQ!B13</f>
        <v>549524.43999999994</v>
      </c>
      <c r="M13" s="76">
        <f>'RASIO INVESTASI'!I12</f>
        <v>122598.46479999999</v>
      </c>
    </row>
    <row r="14" spans="1:13" ht="15.5" x14ac:dyDescent="0.35">
      <c r="A14" s="5" t="s">
        <v>13</v>
      </c>
      <c r="B14">
        <f>LQ!H14</f>
        <v>272244.59999999998</v>
      </c>
      <c r="C14" s="61">
        <f>'RASIO INVESTASI'!I13</f>
        <v>132643.29700000002</v>
      </c>
      <c r="D14" s="59">
        <f>LQ!F14</f>
        <v>284960.96000000002</v>
      </c>
      <c r="E14" s="64">
        <f>'RASIO INVESTASI'!J13</f>
        <v>141087.36504599999</v>
      </c>
      <c r="F14" s="72">
        <f>LQ!E14</f>
        <v>295081.77</v>
      </c>
      <c r="G14" s="61">
        <f>'RASIO INVESTASI'!K13</f>
        <v>150437.34216</v>
      </c>
      <c r="H14" s="60">
        <f>LQ!D14</f>
        <v>306268.28999999998</v>
      </c>
      <c r="I14" s="61">
        <f>'RASIO INVESTASI'!L13</f>
        <v>154585.062962</v>
      </c>
      <c r="J14" s="60">
        <f>LQ!C14</f>
        <v>309950.90999999997</v>
      </c>
      <c r="K14" s="61">
        <f>'RASIO INVESTASI'!M13</f>
        <v>150048.49585800001</v>
      </c>
      <c r="L14" s="77">
        <f>LQ!B14</f>
        <v>312431.71000000002</v>
      </c>
      <c r="M14" s="76">
        <f>'RASIO INVESTASI'!I13</f>
        <v>132643.29700000002</v>
      </c>
    </row>
    <row r="15" spans="1:13" ht="15.5" x14ac:dyDescent="0.35">
      <c r="A15" s="5" t="s">
        <v>14</v>
      </c>
      <c r="B15">
        <f>LQ!H15</f>
        <v>196818.98</v>
      </c>
      <c r="C15" s="61">
        <f>'RASIO INVESTASI'!I14</f>
        <v>82676.695800000001</v>
      </c>
      <c r="D15" s="59">
        <f>LQ!F15</f>
        <v>206097.24</v>
      </c>
      <c r="E15" s="64">
        <f>'RASIO INVESTASI'!J14</f>
        <v>86446.593611999997</v>
      </c>
      <c r="F15" s="72">
        <f>LQ!E15</f>
        <v>217344.58</v>
      </c>
      <c r="G15" s="61">
        <f>'RASIO INVESTASI'!K14</f>
        <v>93475.630079999988</v>
      </c>
      <c r="H15" s="60">
        <f>LQ!D15</f>
        <v>224784.9</v>
      </c>
      <c r="I15" s="61">
        <f>'RASIO INVESTASI'!L14</f>
        <v>95622.776100999996</v>
      </c>
      <c r="J15" s="60">
        <f>LQ!C15</f>
        <v>223750.89</v>
      </c>
      <c r="K15" s="61">
        <f>'RASIO INVESTASI'!M14</f>
        <v>91648.117893999995</v>
      </c>
      <c r="L15" s="77">
        <f>LQ!B15</f>
        <v>228544.53</v>
      </c>
      <c r="M15" s="76">
        <f>'RASIO INVESTASI'!I14</f>
        <v>82676.695800000001</v>
      </c>
    </row>
    <row r="16" spans="1:13" ht="15.5" x14ac:dyDescent="0.35">
      <c r="A16" s="5" t="s">
        <v>15</v>
      </c>
      <c r="B16">
        <f>LQ!H16</f>
        <v>19446.7</v>
      </c>
      <c r="C16" s="61">
        <f>'RASIO INVESTASI'!I15</f>
        <v>9014.5929999999989</v>
      </c>
      <c r="D16" s="59">
        <f>LQ!F16</f>
        <v>20970.5</v>
      </c>
      <c r="E16" s="64">
        <f>'RASIO INVESTASI'!J15</f>
        <v>9786.4068239999997</v>
      </c>
      <c r="F16" s="72">
        <f>LQ!E16</f>
        <v>22681.34</v>
      </c>
      <c r="G16" s="61">
        <f>'RASIO INVESTASI'!K15</f>
        <v>10808.119727999998</v>
      </c>
      <c r="H16" s="60">
        <f>LQ!D16</f>
        <v>24650.84</v>
      </c>
      <c r="I16" s="61">
        <f>'RASIO INVESTASI'!L15</f>
        <v>11914.659003000001</v>
      </c>
      <c r="J16" s="60">
        <f>LQ!C16</f>
        <v>23108.93</v>
      </c>
      <c r="K16" s="61">
        <f>'RASIO INVESTASI'!M15</f>
        <v>10986.209716000001</v>
      </c>
      <c r="L16" s="77">
        <f>LQ!B16</f>
        <v>23442.95</v>
      </c>
      <c r="M16" s="76">
        <f>'RASIO INVESTASI'!I15</f>
        <v>9014.5929999999989</v>
      </c>
    </row>
    <row r="17" spans="1:21" ht="15.5" x14ac:dyDescent="0.35">
      <c r="A17" s="5" t="s">
        <v>16</v>
      </c>
      <c r="B17">
        <f>LQ!H17</f>
        <v>615023.35</v>
      </c>
      <c r="C17" s="61">
        <f>'RASIO INVESTASI'!I16</f>
        <v>310101.99919999996</v>
      </c>
      <c r="D17" s="59">
        <f>LQ!F17</f>
        <v>629054.75</v>
      </c>
      <c r="E17" s="64">
        <f>'RASIO INVESTASI'!J16</f>
        <v>319145.600316</v>
      </c>
      <c r="F17" s="72">
        <f>LQ!E17</f>
        <v>650260.5</v>
      </c>
      <c r="G17" s="61">
        <f>'RASIO INVESTASI'!K16</f>
        <v>332422.70947200002</v>
      </c>
      <c r="H17" s="60">
        <f>LQ!D17</f>
        <v>672482.41</v>
      </c>
      <c r="I17" s="61">
        <f>'RASIO INVESTASI'!L16</f>
        <v>339415.02954700001</v>
      </c>
      <c r="J17" s="60">
        <f>LQ!C17</f>
        <v>661857.18999999994</v>
      </c>
      <c r="K17" s="61">
        <f>'RASIO INVESTASI'!M16</f>
        <v>324382.29740400001</v>
      </c>
      <c r="L17" s="77">
        <f>LQ!B17</f>
        <v>672846.92</v>
      </c>
      <c r="M17" s="76">
        <f>'RASIO INVESTASI'!I16</f>
        <v>310101.99919999996</v>
      </c>
    </row>
    <row r="18" spans="1:21" ht="15.5" x14ac:dyDescent="0.35">
      <c r="A18" s="5" t="s">
        <v>17</v>
      </c>
      <c r="B18">
        <f>LQ!H18</f>
        <v>360681.63</v>
      </c>
      <c r="C18" s="61">
        <f>'RASIO INVESTASI'!I17</f>
        <v>194200.08920000002</v>
      </c>
      <c r="D18" s="59">
        <f>LQ!F18</f>
        <v>386306.42</v>
      </c>
      <c r="E18" s="64">
        <f>'RASIO INVESTASI'!J17</f>
        <v>210951.43598399998</v>
      </c>
      <c r="F18" s="72">
        <f>LQ!E18</f>
        <v>409900.3</v>
      </c>
      <c r="G18" s="61">
        <f>'RASIO INVESTASI'!K17</f>
        <v>229015.29369599998</v>
      </c>
      <c r="H18" s="60">
        <f>LQ!D18</f>
        <v>434616.25</v>
      </c>
      <c r="I18" s="61">
        <f>'RASIO INVESTASI'!L17</f>
        <v>242875.74121500002</v>
      </c>
      <c r="J18" s="60">
        <f>LQ!C18</f>
        <v>433747.02</v>
      </c>
      <c r="K18" s="61">
        <f>'RASIO INVESTASI'!M17</f>
        <v>237649.06280400002</v>
      </c>
      <c r="L18" s="77">
        <f>LQ!B18</f>
        <v>443980.97</v>
      </c>
      <c r="M18" s="76">
        <f>'RASIO INVESTASI'!I17</f>
        <v>194200.08920000002</v>
      </c>
    </row>
    <row r="19" spans="1:21" ht="15.5" x14ac:dyDescent="0.35">
      <c r="A19" s="5" t="s">
        <v>18</v>
      </c>
      <c r="B19">
        <f>LQ!H19</f>
        <v>144790.57999999999</v>
      </c>
      <c r="C19" s="61">
        <f>'RASIO INVESTASI'!I18</f>
        <v>71859.184200000003</v>
      </c>
      <c r="D19" s="59">
        <f>LQ!F19</f>
        <v>157412.71</v>
      </c>
      <c r="E19" s="64">
        <f>'RASIO INVESTASI'!J18</f>
        <v>77203.876055999994</v>
      </c>
      <c r="F19" s="72">
        <f>LQ!E19</f>
        <v>169715.19</v>
      </c>
      <c r="G19" s="61">
        <f>'RASIO INVESTASI'!K18</f>
        <v>84128.067072000005</v>
      </c>
      <c r="H19" s="60">
        <f>LQ!D19</f>
        <v>180514.13</v>
      </c>
      <c r="I19" s="61">
        <f>'RASIO INVESTASI'!L18</f>
        <v>88596.182329999996</v>
      </c>
      <c r="J19" s="60">
        <f>LQ!C19</f>
        <v>196096.83</v>
      </c>
      <c r="K19" s="61">
        <f>'RASIO INVESTASI'!M18</f>
        <v>94828.336495999989</v>
      </c>
      <c r="L19" s="77">
        <f>LQ!B19</f>
        <v>197738.53</v>
      </c>
      <c r="M19" s="76">
        <f>'RASIO INVESTASI'!I18</f>
        <v>71859.184200000003</v>
      </c>
    </row>
    <row r="20" spans="1:21" ht="15.5" x14ac:dyDescent="0.35">
      <c r="A20" s="5" t="s">
        <v>19</v>
      </c>
      <c r="B20">
        <f>LQ!H20</f>
        <v>114313.07</v>
      </c>
      <c r="C20" s="61">
        <f>'RASIO INVESTASI'!I19</f>
        <v>51511.96</v>
      </c>
      <c r="D20" s="59">
        <f>LQ!F20</f>
        <v>124894.17</v>
      </c>
      <c r="E20" s="64">
        <f>'RASIO INVESTASI'!J19</f>
        <v>55999.994604</v>
      </c>
      <c r="F20" s="72">
        <f>LQ!E20</f>
        <v>136505.66</v>
      </c>
      <c r="G20" s="61">
        <f>'RASIO INVESTASI'!K19</f>
        <v>61343.382240000006</v>
      </c>
      <c r="H20" s="60">
        <f>LQ!D20</f>
        <v>148576.93</v>
      </c>
      <c r="I20" s="61">
        <f>'RASIO INVESTASI'!L19</f>
        <v>65683.376554999995</v>
      </c>
      <c r="J20" s="60">
        <f>LQ!C20</f>
        <v>138139.4</v>
      </c>
      <c r="K20" s="61">
        <f>'RASIO INVESTASI'!M19</f>
        <v>58978.599527999999</v>
      </c>
      <c r="L20" s="77">
        <f>LQ!B20</f>
        <v>139579.01999999999</v>
      </c>
      <c r="M20" s="76">
        <f>'RASIO INVESTASI'!I19</f>
        <v>51511.96</v>
      </c>
    </row>
    <row r="22" spans="1:21" ht="43.5" customHeight="1" x14ac:dyDescent="0.35">
      <c r="A22" s="132" t="s">
        <v>108</v>
      </c>
      <c r="B22" s="139" t="s">
        <v>109</v>
      </c>
      <c r="C22" s="140" t="s">
        <v>110</v>
      </c>
      <c r="D22" s="140" t="s">
        <v>111</v>
      </c>
      <c r="E22" s="140" t="s">
        <v>112</v>
      </c>
      <c r="F22" s="140" t="s">
        <v>113</v>
      </c>
      <c r="G22" s="141" t="s">
        <v>117</v>
      </c>
    </row>
    <row r="23" spans="1:21" ht="15.5" customHeight="1" x14ac:dyDescent="0.35">
      <c r="A23" s="132"/>
      <c r="B23" s="139"/>
      <c r="C23" s="140"/>
      <c r="D23" s="140"/>
      <c r="E23" s="140"/>
      <c r="F23" s="140"/>
      <c r="G23" s="142"/>
      <c r="H23" s="134" t="s">
        <v>116</v>
      </c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</row>
    <row r="24" spans="1:21" x14ac:dyDescent="0.35">
      <c r="A24" s="133"/>
      <c r="B24" s="139"/>
      <c r="C24" s="140"/>
      <c r="D24" s="140"/>
      <c r="E24" s="140"/>
      <c r="F24" s="140"/>
      <c r="G24" s="142"/>
    </row>
    <row r="25" spans="1:21" ht="15.5" x14ac:dyDescent="0.35">
      <c r="A25" s="5" t="s">
        <v>3</v>
      </c>
      <c r="B25" s="42">
        <f>E4/(D4-B4)</f>
        <v>23.695493129384531</v>
      </c>
      <c r="C25" s="42">
        <f>G4/(F4-D4)</f>
        <v>55.970749952098203</v>
      </c>
      <c r="D25" s="42">
        <f>I4/(H4-F4)</f>
        <v>9.7480732472106837</v>
      </c>
      <c r="E25" s="42">
        <f>K4/(J4-H4)</f>
        <v>62.639322351132527</v>
      </c>
      <c r="F25" s="42">
        <f>M4/(L4-J4)</f>
        <v>111.78460636703151</v>
      </c>
      <c r="G25" s="42">
        <f>AVERAGE(B25:F25)</f>
        <v>52.767649009371496</v>
      </c>
    </row>
    <row r="26" spans="1:21" ht="15.5" x14ac:dyDescent="0.35">
      <c r="A26" s="5" t="s">
        <v>4</v>
      </c>
      <c r="B26" s="42" t="e">
        <f t="shared" ref="B26:B41" si="0">E5/(D5-B5)</f>
        <v>#DIV/0!</v>
      </c>
      <c r="C26" s="42" t="e">
        <f t="shared" ref="C26:C41" si="1">G5/(F5-D5)</f>
        <v>#DIV/0!</v>
      </c>
      <c r="D26" s="42" t="e">
        <f t="shared" ref="D26:D41" si="2">I5/(H5-F5)</f>
        <v>#DIV/0!</v>
      </c>
      <c r="E26" s="42" t="e">
        <f t="shared" ref="E26:E41" si="3">K5/(J5-H5)</f>
        <v>#DIV/0!</v>
      </c>
      <c r="F26" s="42" t="e">
        <f t="shared" ref="F26:F41" si="4">M5/(L5-J5)</f>
        <v>#DIV/0!</v>
      </c>
      <c r="G26" s="42" t="e">
        <f t="shared" ref="G26:G41" si="5">AVERAGE(B26:F26)</f>
        <v>#DIV/0!</v>
      </c>
    </row>
    <row r="27" spans="1:21" ht="15.5" x14ac:dyDescent="0.35">
      <c r="A27" s="5" t="s">
        <v>5</v>
      </c>
      <c r="B27" s="42">
        <f t="shared" si="0"/>
        <v>12.084164133226754</v>
      </c>
      <c r="C27" s="42">
        <f t="shared" si="1"/>
        <v>15.364099186645864</v>
      </c>
      <c r="D27" s="42">
        <f t="shared" si="2"/>
        <v>11.776698746929647</v>
      </c>
      <c r="E27" s="42">
        <f t="shared" si="3"/>
        <v>-237.96279602286626</v>
      </c>
      <c r="F27" s="42">
        <f t="shared" si="4"/>
        <v>9.5246028095323005</v>
      </c>
      <c r="G27" s="42">
        <f t="shared" si="5"/>
        <v>-37.842646229306339</v>
      </c>
    </row>
    <row r="28" spans="1:21" ht="15.5" x14ac:dyDescent="0.35">
      <c r="A28" s="23" t="s">
        <v>6</v>
      </c>
      <c r="B28" s="73">
        <f t="shared" si="0"/>
        <v>9.8450152180428763</v>
      </c>
      <c r="C28" s="73">
        <f t="shared" si="1"/>
        <v>6.9393908333597274</v>
      </c>
      <c r="D28" s="73">
        <f t="shared" si="2"/>
        <v>7.2030587757524529</v>
      </c>
      <c r="E28" s="73">
        <f t="shared" si="3"/>
        <v>21.540067203099202</v>
      </c>
      <c r="F28" s="73">
        <f t="shared" si="4"/>
        <v>3.2532352927908676</v>
      </c>
      <c r="G28" s="42">
        <f t="shared" si="5"/>
        <v>9.7561534646090262</v>
      </c>
    </row>
    <row r="29" spans="1:21" ht="15.5" x14ac:dyDescent="0.35">
      <c r="A29" s="23" t="s">
        <v>7</v>
      </c>
      <c r="B29" s="73">
        <f t="shared" si="0"/>
        <v>9.0569593203398444</v>
      </c>
      <c r="C29" s="73">
        <f t="shared" si="1"/>
        <v>10.282593511293646</v>
      </c>
      <c r="D29" s="73">
        <f t="shared" si="2"/>
        <v>10.608701345602871</v>
      </c>
      <c r="E29" s="73">
        <f t="shared" si="3"/>
        <v>-89.700242625295218</v>
      </c>
      <c r="F29" s="73">
        <f t="shared" si="4"/>
        <v>185.39741971205743</v>
      </c>
      <c r="G29" s="42">
        <f t="shared" si="5"/>
        <v>25.129086252799716</v>
      </c>
    </row>
    <row r="30" spans="1:21" ht="15.5" x14ac:dyDescent="0.35">
      <c r="A30" s="23" t="s">
        <v>8</v>
      </c>
      <c r="B30" s="73">
        <f t="shared" si="0"/>
        <v>10.038214367391767</v>
      </c>
      <c r="C30" s="73">
        <f t="shared" si="1"/>
        <v>10.107323600202873</v>
      </c>
      <c r="D30" s="73">
        <f t="shared" si="2"/>
        <v>12.67613798227954</v>
      </c>
      <c r="E30" s="73">
        <f t="shared" si="3"/>
        <v>-24.438062920728928</v>
      </c>
      <c r="F30" s="73">
        <f t="shared" si="4"/>
        <v>12.908636318651482</v>
      </c>
      <c r="G30" s="42">
        <f t="shared" si="5"/>
        <v>4.2584498695593478</v>
      </c>
    </row>
    <row r="31" spans="1:21" ht="15.5" x14ac:dyDescent="0.35">
      <c r="A31" s="74" t="s">
        <v>9</v>
      </c>
      <c r="B31" s="73">
        <f t="shared" si="0"/>
        <v>8.6425201167209504</v>
      </c>
      <c r="C31" s="73">
        <f t="shared" si="1"/>
        <v>8.0638222218473334</v>
      </c>
      <c r="D31" s="73">
        <f t="shared" si="2"/>
        <v>8.4952016014894287</v>
      </c>
      <c r="E31" s="73">
        <f t="shared" si="3"/>
        <v>-11.88366420267497</v>
      </c>
      <c r="F31" s="73">
        <f t="shared" si="4"/>
        <v>7.1525365301601944</v>
      </c>
      <c r="G31" s="42">
        <f t="shared" si="5"/>
        <v>4.0940832535085878</v>
      </c>
    </row>
    <row r="32" spans="1:21" ht="15.5" x14ac:dyDescent="0.35">
      <c r="A32" s="23" t="s">
        <v>10</v>
      </c>
      <c r="B32" s="73">
        <f t="shared" si="0"/>
        <v>7.4263632109626512</v>
      </c>
      <c r="C32" s="73">
        <f t="shared" si="1"/>
        <v>6.7454134305551943</v>
      </c>
      <c r="D32" s="73">
        <f t="shared" si="2"/>
        <v>5.3206035413182633</v>
      </c>
      <c r="E32" s="73">
        <f t="shared" si="3"/>
        <v>-1.0740424277088783</v>
      </c>
      <c r="F32" s="73">
        <f t="shared" si="4"/>
        <v>16.533607319745286</v>
      </c>
      <c r="G32" s="42">
        <f t="shared" si="5"/>
        <v>6.990389014974502</v>
      </c>
    </row>
    <row r="33" spans="1:7" ht="15.5" x14ac:dyDescent="0.35">
      <c r="A33" s="23" t="s">
        <v>11</v>
      </c>
      <c r="B33" s="73">
        <f t="shared" si="0"/>
        <v>8.191496451380246</v>
      </c>
      <c r="C33" s="73">
        <f t="shared" si="1"/>
        <v>7.4386934210289013</v>
      </c>
      <c r="D33" s="73">
        <f t="shared" si="2"/>
        <v>5.9337599130611407</v>
      </c>
      <c r="E33" s="73">
        <f t="shared" si="3"/>
        <v>-4.3185516745904273</v>
      </c>
      <c r="F33" s="73">
        <f t="shared" si="4"/>
        <v>9.4099682364736097</v>
      </c>
      <c r="G33" s="42">
        <f t="shared" si="5"/>
        <v>5.3310732694706946</v>
      </c>
    </row>
    <row r="34" spans="1:7" ht="15.5" x14ac:dyDescent="0.35">
      <c r="A34" s="23" t="s">
        <v>12</v>
      </c>
      <c r="B34" s="73">
        <f t="shared" si="0"/>
        <v>3.5315973105100351</v>
      </c>
      <c r="C34" s="73">
        <f t="shared" si="1"/>
        <v>3.7532092170897071</v>
      </c>
      <c r="D34" s="73">
        <f t="shared" si="2"/>
        <v>5.2838645728159435</v>
      </c>
      <c r="E34" s="73">
        <f t="shared" si="3"/>
        <v>2.291045201238938</v>
      </c>
      <c r="F34" s="73">
        <f t="shared" si="4"/>
        <v>10.307814430111982</v>
      </c>
      <c r="G34" s="42">
        <f t="shared" si="5"/>
        <v>5.0335061463533206</v>
      </c>
    </row>
    <row r="35" spans="1:7" ht="15.5" x14ac:dyDescent="0.35">
      <c r="A35" s="23" t="s">
        <v>13</v>
      </c>
      <c r="B35" s="73">
        <f t="shared" si="0"/>
        <v>11.09494895127218</v>
      </c>
      <c r="C35" s="73">
        <f t="shared" si="1"/>
        <v>14.864160295470425</v>
      </c>
      <c r="D35" s="73">
        <f t="shared" si="2"/>
        <v>13.818869761284166</v>
      </c>
      <c r="E35" s="73">
        <f t="shared" si="3"/>
        <v>40.745039091190563</v>
      </c>
      <c r="F35" s="73">
        <f t="shared" si="4"/>
        <v>53.467952676554951</v>
      </c>
      <c r="G35" s="42">
        <f t="shared" si="5"/>
        <v>26.798194155154459</v>
      </c>
    </row>
    <row r="36" spans="1:7" ht="15.5" x14ac:dyDescent="0.35">
      <c r="A36" s="23" t="s">
        <v>14</v>
      </c>
      <c r="B36" s="73">
        <f t="shared" si="0"/>
        <v>9.31711264957009</v>
      </c>
      <c r="C36" s="73">
        <f t="shared" si="1"/>
        <v>8.3109099644893831</v>
      </c>
      <c r="D36" s="73">
        <f t="shared" si="2"/>
        <v>12.851970896547448</v>
      </c>
      <c r="E36" s="73">
        <f t="shared" si="3"/>
        <v>-88.633686225473397</v>
      </c>
      <c r="F36" s="73">
        <f t="shared" si="4"/>
        <v>17.247164117455682</v>
      </c>
      <c r="G36" s="42">
        <f t="shared" si="5"/>
        <v>-8.1813057194821575</v>
      </c>
    </row>
    <row r="37" spans="1:7" ht="15.5" x14ac:dyDescent="0.35">
      <c r="A37" s="5" t="s">
        <v>15</v>
      </c>
      <c r="B37" s="42">
        <f t="shared" si="0"/>
        <v>6.4223696180601157</v>
      </c>
      <c r="C37" s="42">
        <f t="shared" si="1"/>
        <v>6.3174345514484092</v>
      </c>
      <c r="D37" s="42">
        <f t="shared" si="2"/>
        <v>6.049585683168317</v>
      </c>
      <c r="E37" s="42">
        <f t="shared" si="3"/>
        <v>-7.1250654811240617</v>
      </c>
      <c r="F37" s="42">
        <f t="shared" si="4"/>
        <v>26.988183342314795</v>
      </c>
      <c r="G37" s="42">
        <f t="shared" si="5"/>
        <v>7.7305015427735153</v>
      </c>
    </row>
    <row r="38" spans="1:7" ht="15.5" x14ac:dyDescent="0.35">
      <c r="A38" s="23" t="s">
        <v>16</v>
      </c>
      <c r="B38" s="73">
        <f t="shared" si="0"/>
        <v>22.745100297618162</v>
      </c>
      <c r="C38" s="73">
        <f t="shared" si="1"/>
        <v>15.676064721691052</v>
      </c>
      <c r="D38" s="73">
        <f t="shared" si="2"/>
        <v>15.273890927782514</v>
      </c>
      <c r="E38" s="73">
        <f t="shared" si="3"/>
        <v>-30.529466439659348</v>
      </c>
      <c r="F38" s="73">
        <f t="shared" si="4"/>
        <v>28.217435660384485</v>
      </c>
      <c r="G38" s="42">
        <f t="shared" si="5"/>
        <v>10.276605033563374</v>
      </c>
    </row>
    <row r="39" spans="1:7" ht="15.5" x14ac:dyDescent="0.35">
      <c r="A39" s="23" t="s">
        <v>17</v>
      </c>
      <c r="B39" s="73">
        <f t="shared" si="0"/>
        <v>8.2323186252063003</v>
      </c>
      <c r="C39" s="73">
        <f t="shared" si="1"/>
        <v>9.70655499205726</v>
      </c>
      <c r="D39" s="73">
        <f t="shared" si="2"/>
        <v>9.8266803912048655</v>
      </c>
      <c r="E39" s="73">
        <f t="shared" si="3"/>
        <v>-273.40181862568608</v>
      </c>
      <c r="F39" s="73">
        <f t="shared" si="4"/>
        <v>18.976063904943928</v>
      </c>
      <c r="G39" s="42">
        <f t="shared" si="5"/>
        <v>-45.332040142454744</v>
      </c>
    </row>
    <row r="40" spans="1:7" ht="15.5" x14ac:dyDescent="0.35">
      <c r="A40" s="23" t="s">
        <v>18</v>
      </c>
      <c r="B40" s="73">
        <f t="shared" si="0"/>
        <v>6.1165489545742249</v>
      </c>
      <c r="C40" s="73">
        <f t="shared" si="1"/>
        <v>6.838301470272655</v>
      </c>
      <c r="D40" s="73">
        <f t="shared" si="2"/>
        <v>8.204155438404138</v>
      </c>
      <c r="E40" s="73">
        <f t="shared" si="3"/>
        <v>6.0854881693159779</v>
      </c>
      <c r="F40" s="73">
        <f t="shared" si="4"/>
        <v>43.771203143083078</v>
      </c>
      <c r="G40" s="42">
        <f t="shared" si="5"/>
        <v>14.203139435130016</v>
      </c>
    </row>
    <row r="41" spans="1:7" ht="15.5" x14ac:dyDescent="0.35">
      <c r="A41" s="23" t="s">
        <v>19</v>
      </c>
      <c r="B41" s="73">
        <f t="shared" si="0"/>
        <v>5.29245490582265</v>
      </c>
      <c r="C41" s="73">
        <f t="shared" si="1"/>
        <v>5.28298971449831</v>
      </c>
      <c r="D41" s="73">
        <f t="shared" si="2"/>
        <v>5.4412979375823793</v>
      </c>
      <c r="E41" s="73">
        <f t="shared" si="3"/>
        <v>-5.6506280248296301</v>
      </c>
      <c r="F41" s="73">
        <f t="shared" si="4"/>
        <v>35.781636820827835</v>
      </c>
      <c r="G41" s="42">
        <f t="shared" si="5"/>
        <v>9.2295502707803081</v>
      </c>
    </row>
  </sheetData>
  <mergeCells count="15">
    <mergeCell ref="A22:A24"/>
    <mergeCell ref="H23:U23"/>
    <mergeCell ref="L1:M2"/>
    <mergeCell ref="B22:B24"/>
    <mergeCell ref="C22:C24"/>
    <mergeCell ref="D22:D24"/>
    <mergeCell ref="E22:E24"/>
    <mergeCell ref="F22:F24"/>
    <mergeCell ref="A1:A3"/>
    <mergeCell ref="B1:C2"/>
    <mergeCell ref="D1:E2"/>
    <mergeCell ref="F1:G2"/>
    <mergeCell ref="H1:I2"/>
    <mergeCell ref="J1:K2"/>
    <mergeCell ref="G22:G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E229-72C9-4045-8810-462CF87F9F03}">
  <dimension ref="A1:K78"/>
  <sheetViews>
    <sheetView tabSelected="1" topLeftCell="A24" workbookViewId="0">
      <selection activeCell="K66" sqref="K66"/>
    </sheetView>
  </sheetViews>
  <sheetFormatPr defaultRowHeight="14.5" x14ac:dyDescent="0.35"/>
  <cols>
    <col min="1" max="1" width="43.26953125" customWidth="1"/>
    <col min="2" max="2" width="10.08984375" customWidth="1"/>
    <col min="4" max="4" width="10.08984375" customWidth="1"/>
    <col min="5" max="5" width="12.7265625" customWidth="1"/>
    <col min="7" max="7" width="36.36328125" customWidth="1"/>
    <col min="8" max="8" width="11.90625" customWidth="1"/>
    <col min="10" max="10" width="11.08984375" customWidth="1"/>
    <col min="11" max="11" width="13.1796875" customWidth="1"/>
  </cols>
  <sheetData>
    <row r="1" spans="1:11" ht="43.5" x14ac:dyDescent="0.35">
      <c r="A1" s="67" t="s">
        <v>108</v>
      </c>
      <c r="B1" s="68" t="s">
        <v>118</v>
      </c>
      <c r="C1" s="68" t="s">
        <v>117</v>
      </c>
      <c r="D1" s="68" t="s">
        <v>120</v>
      </c>
      <c r="E1" s="68" t="s">
        <v>119</v>
      </c>
      <c r="G1" s="75" t="s">
        <v>108</v>
      </c>
      <c r="H1" s="70" t="s">
        <v>121</v>
      </c>
      <c r="I1" s="70" t="s">
        <v>117</v>
      </c>
      <c r="J1" s="70" t="s">
        <v>122</v>
      </c>
      <c r="K1" s="68" t="s">
        <v>131</v>
      </c>
    </row>
    <row r="2" spans="1:11" ht="15.5" x14ac:dyDescent="0.35">
      <c r="A2" s="23" t="s">
        <v>6</v>
      </c>
      <c r="B2" s="69">
        <f>ICOR!L7</f>
        <v>24999.35</v>
      </c>
      <c r="C2" s="69">
        <f>ICOR!G28</f>
        <v>9.7561534646090262</v>
      </c>
      <c r="D2" s="69">
        <f>B2-(B2*6%)</f>
        <v>23499.388999999999</v>
      </c>
      <c r="E2" s="69">
        <f>C2*(B2-D2)</f>
        <v>14633.849706928413</v>
      </c>
      <c r="G2" s="23" t="s">
        <v>6</v>
      </c>
      <c r="H2" s="71">
        <f>ICOR!B7</f>
        <v>19086.34</v>
      </c>
      <c r="I2" s="69">
        <f>C2</f>
        <v>9.7561534646090262</v>
      </c>
      <c r="J2" s="69">
        <f>H2+(H2*5.6%)</f>
        <v>20155.175040000002</v>
      </c>
      <c r="K2" s="69">
        <f>I2*(J2-H2)</f>
        <v>10427.718678591544</v>
      </c>
    </row>
    <row r="3" spans="1:11" ht="31" x14ac:dyDescent="0.35">
      <c r="A3" s="23" t="s">
        <v>7</v>
      </c>
      <c r="B3" s="69">
        <f>ICOR!L8</f>
        <v>8891.0300000000007</v>
      </c>
      <c r="C3" s="69">
        <f>ICOR!G29</f>
        <v>25.129086252799716</v>
      </c>
      <c r="D3" s="69">
        <f t="shared" ref="D3:D14" si="0">B3-(B3*6%)</f>
        <v>8357.5682000000015</v>
      </c>
      <c r="E3" s="69">
        <f t="shared" ref="E3:E14" si="1">C3*(B3-D3)</f>
        <v>13405.407584773769</v>
      </c>
      <c r="G3" s="23" t="s">
        <v>7</v>
      </c>
      <c r="H3" s="71">
        <f>ICOR!B8</f>
        <v>7868.22</v>
      </c>
      <c r="I3" s="69">
        <f t="shared" ref="I3:I14" si="2">C3</f>
        <v>25.129086252799716</v>
      </c>
      <c r="J3" s="69">
        <f t="shared" ref="J3:J14" si="3">H3+(H3*5.6%)</f>
        <v>8308.8403199999993</v>
      </c>
      <c r="K3" s="69">
        <f t="shared" ref="K3:K14" si="4">I3*(J3-H3)</f>
        <v>11072.386026016189</v>
      </c>
    </row>
    <row r="4" spans="1:11" ht="15.5" x14ac:dyDescent="0.35">
      <c r="A4" s="23" t="s">
        <v>8</v>
      </c>
      <c r="B4" s="69">
        <f>ICOR!L9</f>
        <v>1054427.43</v>
      </c>
      <c r="C4" s="69">
        <f>ICOR!G30</f>
        <v>4.2584498695593478</v>
      </c>
      <c r="D4" s="69">
        <f t="shared" si="0"/>
        <v>991161.78419999999</v>
      </c>
      <c r="E4" s="69">
        <f t="shared" si="1"/>
        <v>269413.58110459766</v>
      </c>
      <c r="G4" s="23" t="s">
        <v>8</v>
      </c>
      <c r="H4" s="71">
        <f>ICOR!B9</f>
        <v>907490.87</v>
      </c>
      <c r="I4" s="69">
        <f t="shared" si="2"/>
        <v>4.2584498695593478</v>
      </c>
      <c r="J4" s="69">
        <f t="shared" si="3"/>
        <v>958310.35872000002</v>
      </c>
      <c r="K4" s="69">
        <f t="shared" si="4"/>
        <v>216412.24511075683</v>
      </c>
    </row>
    <row r="5" spans="1:11" ht="15.5" x14ac:dyDescent="0.35">
      <c r="A5" s="74" t="s">
        <v>9</v>
      </c>
      <c r="B5" s="69">
        <f>ICOR!L10</f>
        <v>1010890.66</v>
      </c>
      <c r="C5" s="69">
        <f>ICOR!G31</f>
        <v>4.0940832535085878</v>
      </c>
      <c r="D5" s="69">
        <f t="shared" si="0"/>
        <v>950237.22039999999</v>
      </c>
      <c r="E5" s="69">
        <f t="shared" si="1"/>
        <v>248320.23133405478</v>
      </c>
      <c r="G5" s="74" t="s">
        <v>9</v>
      </c>
      <c r="H5" s="71">
        <f>ICOR!B10</f>
        <v>844737.97</v>
      </c>
      <c r="I5" s="69">
        <f t="shared" si="2"/>
        <v>4.0940832535085878</v>
      </c>
      <c r="J5" s="69">
        <f t="shared" si="3"/>
        <v>892043.29631999996</v>
      </c>
      <c r="K5" s="69">
        <f t="shared" si="4"/>
        <v>193671.94428847102</v>
      </c>
    </row>
    <row r="6" spans="1:11" ht="15.5" x14ac:dyDescent="0.35">
      <c r="A6" s="23" t="s">
        <v>10</v>
      </c>
      <c r="B6" s="69">
        <f>ICOR!L11</f>
        <v>381908.37</v>
      </c>
      <c r="C6" s="69">
        <f>ICOR!G32</f>
        <v>6.990389014974502</v>
      </c>
      <c r="D6" s="69">
        <f t="shared" si="0"/>
        <v>358993.86780000001</v>
      </c>
      <c r="E6" s="69">
        <f t="shared" si="1"/>
        <v>160181.28446248898</v>
      </c>
      <c r="G6" s="23" t="s">
        <v>10</v>
      </c>
      <c r="H6" s="71">
        <f>ICOR!B11</f>
        <v>418762</v>
      </c>
      <c r="I6" s="69">
        <f t="shared" si="2"/>
        <v>6.990389014974502</v>
      </c>
      <c r="J6" s="69">
        <f t="shared" si="3"/>
        <v>442212.67200000002</v>
      </c>
      <c r="K6" s="69">
        <f t="shared" si="4"/>
        <v>163929.31994257029</v>
      </c>
    </row>
    <row r="7" spans="1:11" ht="31" x14ac:dyDescent="0.35">
      <c r="A7" s="23" t="s">
        <v>11</v>
      </c>
      <c r="B7" s="69">
        <f>ICOR!L12</f>
        <v>371237.65</v>
      </c>
      <c r="C7" s="69">
        <f>ICOR!G33</f>
        <v>5.3310732694706946</v>
      </c>
      <c r="D7" s="69">
        <f t="shared" si="0"/>
        <v>348963.391</v>
      </c>
      <c r="E7" s="69">
        <f t="shared" si="1"/>
        <v>118745.70675216716</v>
      </c>
      <c r="G7" s="23" t="s">
        <v>11</v>
      </c>
      <c r="H7" s="71">
        <f>ICOR!B12</f>
        <v>318041.12</v>
      </c>
      <c r="I7" s="69">
        <f t="shared" si="2"/>
        <v>5.3310732694706946</v>
      </c>
      <c r="J7" s="69">
        <f t="shared" si="3"/>
        <v>335851.42271999997</v>
      </c>
      <c r="K7" s="69">
        <f t="shared" si="4"/>
        <v>94948.02875177309</v>
      </c>
    </row>
    <row r="8" spans="1:11" ht="15.5" x14ac:dyDescent="0.35">
      <c r="A8" s="23" t="s">
        <v>12</v>
      </c>
      <c r="B8" s="69">
        <f>ICOR!L13</f>
        <v>549524.43999999994</v>
      </c>
      <c r="C8" s="69">
        <f>ICOR!G34</f>
        <v>5.0335061463533206</v>
      </c>
      <c r="D8" s="69">
        <f t="shared" si="0"/>
        <v>516552.97359999997</v>
      </c>
      <c r="E8" s="69">
        <f t="shared" si="1"/>
        <v>165962.07877868187</v>
      </c>
      <c r="G8" s="23" t="s">
        <v>12</v>
      </c>
      <c r="H8" s="71">
        <f>ICOR!B13</f>
        <v>347340.64</v>
      </c>
      <c r="I8" s="69">
        <f t="shared" si="2"/>
        <v>5.0335061463533206</v>
      </c>
      <c r="J8" s="69">
        <f t="shared" si="3"/>
        <v>366791.71584000002</v>
      </c>
      <c r="K8" s="69">
        <f t="shared" si="4"/>
        <v>97907.109793824609</v>
      </c>
    </row>
    <row r="9" spans="1:11" ht="15.5" x14ac:dyDescent="0.35">
      <c r="A9" s="23" t="s">
        <v>13</v>
      </c>
      <c r="B9" s="69">
        <f>ICOR!L14</f>
        <v>312431.71000000002</v>
      </c>
      <c r="C9" s="69">
        <f>ICOR!G35</f>
        <v>26.798194155154459</v>
      </c>
      <c r="D9" s="69">
        <f t="shared" si="0"/>
        <v>293685.80740000005</v>
      </c>
      <c r="E9" s="69">
        <f t="shared" si="1"/>
        <v>502356.33748841402</v>
      </c>
      <c r="G9" s="23" t="s">
        <v>13</v>
      </c>
      <c r="H9" s="71">
        <f>ICOR!B14</f>
        <v>272244.59999999998</v>
      </c>
      <c r="I9" s="69">
        <f t="shared" si="2"/>
        <v>26.798194155154459</v>
      </c>
      <c r="J9" s="69">
        <f t="shared" si="3"/>
        <v>287490.29759999999</v>
      </c>
      <c r="K9" s="69">
        <f t="shared" si="4"/>
        <v>408557.16431557271</v>
      </c>
    </row>
    <row r="10" spans="1:11" ht="15.5" x14ac:dyDescent="0.35">
      <c r="A10" s="23" t="s">
        <v>14</v>
      </c>
      <c r="B10" s="69">
        <f>ICOR!L15</f>
        <v>228544.53</v>
      </c>
      <c r="C10" s="69">
        <f>ICOR!G36</f>
        <v>-8.1813057194821575</v>
      </c>
      <c r="D10" s="69">
        <f t="shared" si="0"/>
        <v>214831.85819999999</v>
      </c>
      <c r="E10" s="69">
        <f t="shared" si="1"/>
        <v>-112187.56022672178</v>
      </c>
      <c r="G10" s="23" t="s">
        <v>14</v>
      </c>
      <c r="H10" s="71">
        <f>ICOR!B15</f>
        <v>196818.98</v>
      </c>
      <c r="I10" s="69">
        <f t="shared" si="2"/>
        <v>-8.1813057194821575</v>
      </c>
      <c r="J10" s="69">
        <f t="shared" si="3"/>
        <v>207840.84288000001</v>
      </c>
      <c r="K10" s="69">
        <f t="shared" si="4"/>
        <v>-90173.229819492088</v>
      </c>
    </row>
    <row r="11" spans="1:11" ht="31" x14ac:dyDescent="0.35">
      <c r="A11" s="23" t="s">
        <v>16</v>
      </c>
      <c r="B11" s="69">
        <f>ICOR!L17</f>
        <v>672846.92</v>
      </c>
      <c r="C11" s="69">
        <f>ICOR!G38</f>
        <v>10.276605033563374</v>
      </c>
      <c r="D11" s="69">
        <f t="shared" si="0"/>
        <v>632476.10480000009</v>
      </c>
      <c r="E11" s="69">
        <f t="shared" si="1"/>
        <v>414874.92269337631</v>
      </c>
      <c r="G11" s="23" t="s">
        <v>16</v>
      </c>
      <c r="H11" s="71">
        <f>ICOR!B16</f>
        <v>19446.7</v>
      </c>
      <c r="I11" s="69">
        <f t="shared" si="2"/>
        <v>10.276605033563374</v>
      </c>
      <c r="J11" s="69">
        <f t="shared" si="3"/>
        <v>20535.715199999999</v>
      </c>
      <c r="K11" s="69">
        <f t="shared" si="4"/>
        <v>11191.379085947005</v>
      </c>
    </row>
    <row r="12" spans="1:11" ht="15.5" x14ac:dyDescent="0.35">
      <c r="A12" s="23" t="s">
        <v>17</v>
      </c>
      <c r="B12" s="69">
        <f>ICOR!L18</f>
        <v>443980.97</v>
      </c>
      <c r="C12" s="69">
        <f>ICOR!G39</f>
        <v>-45.332040142454744</v>
      </c>
      <c r="D12" s="69">
        <f t="shared" si="0"/>
        <v>417342.11179999996</v>
      </c>
      <c r="E12" s="69">
        <f t="shared" si="1"/>
        <v>-1207593.7892715605</v>
      </c>
      <c r="G12" s="23" t="s">
        <v>17</v>
      </c>
      <c r="H12" s="71">
        <f>ICOR!B17</f>
        <v>615023.35</v>
      </c>
      <c r="I12" s="69">
        <f t="shared" si="2"/>
        <v>-45.332040142454744</v>
      </c>
      <c r="J12" s="69">
        <f t="shared" si="3"/>
        <v>649464.65759999992</v>
      </c>
      <c r="K12" s="69">
        <f t="shared" si="4"/>
        <v>-1561294.7386818291</v>
      </c>
    </row>
    <row r="13" spans="1:11" ht="15.5" x14ac:dyDescent="0.35">
      <c r="A13" s="23" t="s">
        <v>18</v>
      </c>
      <c r="B13" s="69">
        <f>ICOR!L19</f>
        <v>197738.53</v>
      </c>
      <c r="C13" s="69">
        <f>ICOR!G40</f>
        <v>14.203139435130016</v>
      </c>
      <c r="D13" s="69">
        <f t="shared" si="0"/>
        <v>185874.2182</v>
      </c>
      <c r="E13" s="69">
        <f t="shared" si="1"/>
        <v>168510.47479725833</v>
      </c>
      <c r="G13" s="23" t="s">
        <v>18</v>
      </c>
      <c r="H13" s="71">
        <f>ICOR!B18</f>
        <v>360681.63</v>
      </c>
      <c r="I13" s="69">
        <f t="shared" si="2"/>
        <v>14.203139435130016</v>
      </c>
      <c r="J13" s="69">
        <f t="shared" si="3"/>
        <v>380879.80128000001</v>
      </c>
      <c r="K13" s="69">
        <f t="shared" si="4"/>
        <v>286877.44302447862</v>
      </c>
    </row>
    <row r="14" spans="1:11" ht="15.5" x14ac:dyDescent="0.35">
      <c r="A14" s="23" t="s">
        <v>19</v>
      </c>
      <c r="B14" s="69">
        <f>ICOR!L20</f>
        <v>139579.01999999999</v>
      </c>
      <c r="C14" s="69">
        <f>ICOR!G41</f>
        <v>9.2295502707803081</v>
      </c>
      <c r="D14" s="69">
        <f t="shared" si="0"/>
        <v>131204.2788</v>
      </c>
      <c r="E14" s="69">
        <f t="shared" si="1"/>
        <v>77295.094910174899</v>
      </c>
      <c r="G14" s="23" t="s">
        <v>19</v>
      </c>
      <c r="H14" s="71">
        <f>ICOR!B19</f>
        <v>144790.57999999999</v>
      </c>
      <c r="I14" s="69">
        <f t="shared" si="2"/>
        <v>9.2295502707803081</v>
      </c>
      <c r="J14" s="69">
        <f t="shared" si="3"/>
        <v>152898.85247999997</v>
      </c>
      <c r="K14" s="69">
        <f t="shared" si="4"/>
        <v>74835.708463344388</v>
      </c>
    </row>
    <row r="17" spans="1:11" ht="43.5" x14ac:dyDescent="0.35">
      <c r="A17" s="67" t="s">
        <v>108</v>
      </c>
      <c r="B17" s="68" t="s">
        <v>123</v>
      </c>
      <c r="C17" s="68" t="s">
        <v>117</v>
      </c>
      <c r="D17" s="68" t="s">
        <v>124</v>
      </c>
      <c r="E17" s="68" t="s">
        <v>132</v>
      </c>
      <c r="G17" s="75" t="s">
        <v>108</v>
      </c>
      <c r="H17" s="68" t="s">
        <v>129</v>
      </c>
      <c r="I17" s="70" t="s">
        <v>117</v>
      </c>
      <c r="J17" s="70" t="s">
        <v>122</v>
      </c>
      <c r="K17" s="68" t="s">
        <v>133</v>
      </c>
    </row>
    <row r="18" spans="1:11" ht="15.5" x14ac:dyDescent="0.35">
      <c r="A18" s="23" t="s">
        <v>6</v>
      </c>
      <c r="B18" s="69">
        <f>ICOR!J7</f>
        <v>22782.58</v>
      </c>
      <c r="C18" s="69">
        <f>C2</f>
        <v>9.7561534646090262</v>
      </c>
      <c r="D18" s="69">
        <f>B18-(B18*6%)</f>
        <v>21415.625200000002</v>
      </c>
      <c r="E18" s="69">
        <f>C18*(B18-D18)</f>
        <v>13336.220807983935</v>
      </c>
      <c r="G18" s="23" t="s">
        <v>6</v>
      </c>
      <c r="H18" s="71">
        <f>ICOR!D7</f>
        <v>19887.099999999999</v>
      </c>
      <c r="I18" s="69">
        <f>C2</f>
        <v>9.7561534646090262</v>
      </c>
      <c r="J18" s="69">
        <f>H18+(H18*5.6%)</f>
        <v>21000.777599999998</v>
      </c>
      <c r="K18" s="69">
        <f>I18*(J18-H18)</f>
        <v>10865.209575697456</v>
      </c>
    </row>
    <row r="19" spans="1:11" ht="31" x14ac:dyDescent="0.35">
      <c r="A19" s="23" t="s">
        <v>7</v>
      </c>
      <c r="B19" s="69">
        <f>ICOR!J8</f>
        <v>8872.9699999999993</v>
      </c>
      <c r="C19" s="69">
        <f t="shared" ref="C19:C30" si="5">C3</f>
        <v>25.129086252799716</v>
      </c>
      <c r="D19" s="69">
        <f t="shared" ref="D19:D30" si="6">B19-(B19*6%)</f>
        <v>8340.5918000000001</v>
      </c>
      <c r="E19" s="69">
        <f t="shared" ref="E19:E30" si="7">C19*(B19-D19)</f>
        <v>13378.177706910237</v>
      </c>
      <c r="G19" s="23" t="s">
        <v>7</v>
      </c>
      <c r="H19" s="71">
        <f>ICOR!D8</f>
        <v>8228.4</v>
      </c>
      <c r="I19" s="69">
        <f t="shared" ref="I19:I30" si="8">C3</f>
        <v>25.129086252799716</v>
      </c>
      <c r="J19" s="69">
        <f t="shared" ref="J19:J30" si="9">H19+(H19*5.6%)</f>
        <v>8689.1903999999995</v>
      </c>
      <c r="K19" s="69">
        <f t="shared" ref="K19:K30" si="10">I19*(J19-H19)</f>
        <v>11579.241706062079</v>
      </c>
    </row>
    <row r="20" spans="1:11" ht="15.5" x14ac:dyDescent="0.35">
      <c r="A20" s="23" t="s">
        <v>8</v>
      </c>
      <c r="B20" s="69">
        <f>ICOR!J9</f>
        <v>1021386.06</v>
      </c>
      <c r="C20" s="69">
        <f t="shared" si="5"/>
        <v>4.2584498695593478</v>
      </c>
      <c r="D20" s="69">
        <f t="shared" si="6"/>
        <v>960102.89640000009</v>
      </c>
      <c r="E20" s="69">
        <f t="shared" si="7"/>
        <v>260971.28003860405</v>
      </c>
      <c r="G20" s="23" t="s">
        <v>8</v>
      </c>
      <c r="H20" s="71">
        <f>ICOR!D9</f>
        <v>952201.56</v>
      </c>
      <c r="I20" s="69">
        <f t="shared" si="8"/>
        <v>4.2584498695593478</v>
      </c>
      <c r="J20" s="69">
        <f t="shared" si="9"/>
        <v>1005524.84736</v>
      </c>
      <c r="K20" s="69">
        <f t="shared" si="10"/>
        <v>227074.54610266743</v>
      </c>
    </row>
    <row r="21" spans="1:11" ht="15.5" x14ac:dyDescent="0.35">
      <c r="A21" s="74" t="s">
        <v>9</v>
      </c>
      <c r="B21" s="69">
        <f>ICOR!J10</f>
        <v>959216.92</v>
      </c>
      <c r="C21" s="69">
        <f t="shared" si="5"/>
        <v>4.0940832535085878</v>
      </c>
      <c r="D21" s="69">
        <f t="shared" si="6"/>
        <v>901663.90480000002</v>
      </c>
      <c r="E21" s="69">
        <f t="shared" si="7"/>
        <v>235626.83571924531</v>
      </c>
      <c r="G21" s="74" t="s">
        <v>9</v>
      </c>
      <c r="H21" s="71">
        <f>ICOR!D10</f>
        <v>889686.2</v>
      </c>
      <c r="I21" s="69">
        <f t="shared" si="8"/>
        <v>4.0940832535085878</v>
      </c>
      <c r="J21" s="69">
        <f t="shared" si="9"/>
        <v>939508.62719999999</v>
      </c>
      <c r="K21" s="69">
        <f t="shared" si="10"/>
        <v>203977.16484867092</v>
      </c>
    </row>
    <row r="22" spans="1:11" ht="15.5" x14ac:dyDescent="0.35">
      <c r="A22" s="23" t="s">
        <v>10</v>
      </c>
      <c r="B22" s="69">
        <f>ICOR!J11</f>
        <v>371393.25</v>
      </c>
      <c r="C22" s="69">
        <f t="shared" si="5"/>
        <v>6.990389014974502</v>
      </c>
      <c r="D22" s="69">
        <f t="shared" si="6"/>
        <v>349109.65500000003</v>
      </c>
      <c r="E22" s="69">
        <f t="shared" si="7"/>
        <v>155770.99770214054</v>
      </c>
      <c r="G22" s="23" t="s">
        <v>10</v>
      </c>
      <c r="H22" s="71">
        <f>ICOR!D11</f>
        <v>443250.98</v>
      </c>
      <c r="I22" s="69">
        <f t="shared" si="8"/>
        <v>6.990389014974502</v>
      </c>
      <c r="J22" s="69">
        <f t="shared" si="9"/>
        <v>468073.03487999999</v>
      </c>
      <c r="K22" s="69">
        <f t="shared" si="10"/>
        <v>173515.8197622463</v>
      </c>
    </row>
    <row r="23" spans="1:11" ht="31" x14ac:dyDescent="0.35">
      <c r="A23" s="23" t="s">
        <v>11</v>
      </c>
      <c r="B23" s="69">
        <f>ICOR!J12</f>
        <v>354869.82</v>
      </c>
      <c r="C23" s="69">
        <f t="shared" si="5"/>
        <v>5.3310732694706946</v>
      </c>
      <c r="D23" s="69">
        <f t="shared" si="6"/>
        <v>333577.63079999998</v>
      </c>
      <c r="E23" s="69">
        <f t="shared" si="7"/>
        <v>113510.22069263273</v>
      </c>
      <c r="G23" s="23" t="s">
        <v>11</v>
      </c>
      <c r="H23" s="71">
        <f>ICOR!D12</f>
        <v>337687.35</v>
      </c>
      <c r="I23" s="69">
        <f t="shared" si="8"/>
        <v>5.3310732694706946</v>
      </c>
      <c r="J23" s="69">
        <f t="shared" si="9"/>
        <v>356597.84159999999</v>
      </c>
      <c r="K23" s="69">
        <f t="shared" si="10"/>
        <v>100813.21628131015</v>
      </c>
    </row>
    <row r="24" spans="1:11" ht="15.5" x14ac:dyDescent="0.35">
      <c r="A24" s="23" t="s">
        <v>12</v>
      </c>
      <c r="B24" s="69">
        <f>ICOR!J13</f>
        <v>537630.69999999995</v>
      </c>
      <c r="C24" s="69">
        <f t="shared" si="5"/>
        <v>5.0335061463533206</v>
      </c>
      <c r="D24" s="69">
        <f t="shared" si="6"/>
        <v>505372.85799999995</v>
      </c>
      <c r="E24" s="69">
        <f t="shared" si="7"/>
        <v>162370.04597509431</v>
      </c>
      <c r="G24" s="23" t="s">
        <v>12</v>
      </c>
      <c r="H24" s="71">
        <f>ICOR!D13</f>
        <v>386751.83</v>
      </c>
      <c r="I24" s="69">
        <f t="shared" si="8"/>
        <v>5.0335061463533206</v>
      </c>
      <c r="J24" s="69">
        <f t="shared" si="9"/>
        <v>408409.93248000002</v>
      </c>
      <c r="K24" s="69">
        <f t="shared" si="10"/>
        <v>109016.1919514301</v>
      </c>
    </row>
    <row r="25" spans="1:11" ht="15.5" x14ac:dyDescent="0.35">
      <c r="A25" s="23" t="s">
        <v>13</v>
      </c>
      <c r="B25" s="69">
        <f>ICOR!J14</f>
        <v>309950.90999999997</v>
      </c>
      <c r="C25" s="69">
        <f t="shared" si="5"/>
        <v>26.798194155154459</v>
      </c>
      <c r="D25" s="69">
        <f t="shared" si="6"/>
        <v>291353.8554</v>
      </c>
      <c r="E25" s="69">
        <f t="shared" si="7"/>
        <v>498367.47988480766</v>
      </c>
      <c r="G25" s="23" t="s">
        <v>13</v>
      </c>
      <c r="H25" s="71">
        <f>ICOR!D14</f>
        <v>284960.96000000002</v>
      </c>
      <c r="I25" s="69">
        <f t="shared" si="8"/>
        <v>26.798194155154459</v>
      </c>
      <c r="J25" s="69">
        <f t="shared" si="9"/>
        <v>300918.77376000001</v>
      </c>
      <c r="K25" s="69">
        <f t="shared" si="10"/>
        <v>427640.59143227513</v>
      </c>
    </row>
    <row r="26" spans="1:11" ht="15.5" x14ac:dyDescent="0.35">
      <c r="A26" s="23" t="s">
        <v>14</v>
      </c>
      <c r="B26" s="69">
        <f>ICOR!J15</f>
        <v>223750.89</v>
      </c>
      <c r="C26" s="69">
        <f t="shared" si="5"/>
        <v>-8.1813057194821575</v>
      </c>
      <c r="D26" s="69">
        <f t="shared" si="6"/>
        <v>210325.83660000001</v>
      </c>
      <c r="E26" s="69">
        <f t="shared" si="7"/>
        <v>-109834.46616577343</v>
      </c>
      <c r="G26" s="23" t="s">
        <v>14</v>
      </c>
      <c r="H26" s="71">
        <f>ICOR!D15</f>
        <v>206097.24</v>
      </c>
      <c r="I26" s="69">
        <f t="shared" si="8"/>
        <v>-8.1813057194821575</v>
      </c>
      <c r="J26" s="69">
        <f t="shared" si="9"/>
        <v>217638.68544</v>
      </c>
      <c r="K26" s="69">
        <f t="shared" si="10"/>
        <v>-94424.093589363358</v>
      </c>
    </row>
    <row r="27" spans="1:11" ht="31" x14ac:dyDescent="0.35">
      <c r="A27" s="23" t="s">
        <v>16</v>
      </c>
      <c r="B27" s="69">
        <f>ICOR!J17</f>
        <v>661857.18999999994</v>
      </c>
      <c r="C27" s="69">
        <f t="shared" si="5"/>
        <v>10.276605033563374</v>
      </c>
      <c r="D27" s="69">
        <f t="shared" si="6"/>
        <v>622145.75859999994</v>
      </c>
      <c r="E27" s="69">
        <f t="shared" si="7"/>
        <v>408098.69581524667</v>
      </c>
      <c r="G27" s="23" t="s">
        <v>16</v>
      </c>
      <c r="H27" s="71">
        <f>ICOR!D17</f>
        <v>629054.75</v>
      </c>
      <c r="I27" s="69">
        <f t="shared" si="8"/>
        <v>10.276605033563374</v>
      </c>
      <c r="J27" s="69">
        <f t="shared" si="9"/>
        <v>664281.81599999999</v>
      </c>
      <c r="K27" s="69">
        <f t="shared" si="10"/>
        <v>362014.64377326914</v>
      </c>
    </row>
    <row r="28" spans="1:11" ht="15.5" x14ac:dyDescent="0.35">
      <c r="A28" s="23" t="s">
        <v>17</v>
      </c>
      <c r="B28" s="69">
        <f>ICOR!J18</f>
        <v>433747.02</v>
      </c>
      <c r="C28" s="69">
        <f t="shared" si="5"/>
        <v>-45.332040142454744</v>
      </c>
      <c r="D28" s="69">
        <f t="shared" si="6"/>
        <v>407722.19880000001</v>
      </c>
      <c r="E28" s="69">
        <f t="shared" si="7"/>
        <v>-1179758.2393386075</v>
      </c>
      <c r="G28" s="23" t="s">
        <v>17</v>
      </c>
      <c r="H28" s="71">
        <f>ICOR!D18</f>
        <v>386306.42</v>
      </c>
      <c r="I28" s="69">
        <f t="shared" si="8"/>
        <v>-45.332040142454744</v>
      </c>
      <c r="J28" s="69">
        <f t="shared" si="9"/>
        <v>407939.57951999997</v>
      </c>
      <c r="K28" s="69">
        <f t="shared" si="10"/>
        <v>-980675.25576876639</v>
      </c>
    </row>
    <row r="29" spans="1:11" ht="15.5" x14ac:dyDescent="0.35">
      <c r="A29" s="23" t="s">
        <v>18</v>
      </c>
      <c r="B29" s="69">
        <f>ICOR!J19</f>
        <v>196096.83</v>
      </c>
      <c r="C29" s="69">
        <f t="shared" si="5"/>
        <v>14.203139435130016</v>
      </c>
      <c r="D29" s="69">
        <f t="shared" si="6"/>
        <v>184331.0202</v>
      </c>
      <c r="E29" s="69">
        <f t="shared" si="7"/>
        <v>167111.43715661904</v>
      </c>
      <c r="G29" s="23" t="s">
        <v>18</v>
      </c>
      <c r="H29" s="71">
        <f>ICOR!D19</f>
        <v>157412.71</v>
      </c>
      <c r="I29" s="69">
        <f t="shared" si="8"/>
        <v>14.203139435130016</v>
      </c>
      <c r="J29" s="69">
        <f t="shared" si="9"/>
        <v>166227.82175999999</v>
      </c>
      <c r="K29" s="69">
        <f t="shared" si="10"/>
        <v>125202.26146353435</v>
      </c>
    </row>
    <row r="30" spans="1:11" ht="15.5" x14ac:dyDescent="0.35">
      <c r="A30" s="23" t="s">
        <v>19</v>
      </c>
      <c r="B30" s="69">
        <f>ICOR!J20</f>
        <v>138139.4</v>
      </c>
      <c r="C30" s="69">
        <f t="shared" si="5"/>
        <v>9.2295502707803081</v>
      </c>
      <c r="D30" s="69">
        <f t="shared" si="6"/>
        <v>129851.03599999999</v>
      </c>
      <c r="E30" s="69">
        <f t="shared" si="7"/>
        <v>76497.872200525773</v>
      </c>
      <c r="G30" s="23" t="s">
        <v>19</v>
      </c>
      <c r="H30" s="71">
        <f>ICOR!D20</f>
        <v>124894.17</v>
      </c>
      <c r="I30" s="69">
        <f t="shared" si="8"/>
        <v>9.2295502707803081</v>
      </c>
      <c r="J30" s="69">
        <f t="shared" si="9"/>
        <v>131888.24351999999</v>
      </c>
      <c r="K30" s="69">
        <f t="shared" si="10"/>
        <v>64552.153150373299</v>
      </c>
    </row>
    <row r="33" spans="1:11" ht="43.5" x14ac:dyDescent="0.35">
      <c r="A33" s="67" t="s">
        <v>108</v>
      </c>
      <c r="B33" s="68" t="s">
        <v>125</v>
      </c>
      <c r="C33" s="68" t="s">
        <v>117</v>
      </c>
      <c r="D33" s="68" t="s">
        <v>126</v>
      </c>
      <c r="E33" s="68" t="s">
        <v>134</v>
      </c>
      <c r="G33" s="75" t="s">
        <v>108</v>
      </c>
      <c r="H33" s="68" t="s">
        <v>127</v>
      </c>
      <c r="I33" s="70" t="s">
        <v>117</v>
      </c>
      <c r="J33" s="70" t="s">
        <v>122</v>
      </c>
      <c r="K33" s="68" t="s">
        <v>134</v>
      </c>
    </row>
    <row r="34" spans="1:11" ht="15.5" x14ac:dyDescent="0.35">
      <c r="A34" s="23" t="s">
        <v>6</v>
      </c>
      <c r="B34" s="69">
        <f>ICOR!H7</f>
        <v>22379.919999999998</v>
      </c>
      <c r="C34" s="69">
        <f>C2</f>
        <v>9.7561534646090262</v>
      </c>
      <c r="D34" s="69">
        <f>B34-(B34*6%)</f>
        <v>21037.124799999998</v>
      </c>
      <c r="E34" s="69">
        <f>C34*(B34-D34)</f>
        <v>13100.516042740375</v>
      </c>
      <c r="G34" s="23" t="s">
        <v>6</v>
      </c>
      <c r="H34" s="71">
        <f>ICOR!F7</f>
        <v>21149.94</v>
      </c>
      <c r="I34" s="69">
        <f>C2</f>
        <v>9.7561534646090262</v>
      </c>
      <c r="J34" s="69">
        <f>H34+(H34*5.6%)</f>
        <v>22334.336639999998</v>
      </c>
      <c r="K34" s="69">
        <f>I34*(J34-H34)</f>
        <v>11555.155382807279</v>
      </c>
    </row>
    <row r="35" spans="1:11" ht="31" x14ac:dyDescent="0.35">
      <c r="A35" s="23" t="s">
        <v>7</v>
      </c>
      <c r="B35" s="69">
        <f>ICOR!H8</f>
        <v>8914.8700000000008</v>
      </c>
      <c r="C35" s="69">
        <f t="shared" ref="C35:C46" si="11">C3</f>
        <v>25.129086252799716</v>
      </c>
      <c r="D35" s="69">
        <f t="shared" ref="D35:D46" si="12">B35-(B35*6%)</f>
        <v>8379.9778000000006</v>
      </c>
      <c r="E35" s="69">
        <f t="shared" ref="E35:E46" si="13">C35*(B35-D35)</f>
        <v>13441.352229749802</v>
      </c>
      <c r="G35" s="23" t="s">
        <v>7</v>
      </c>
      <c r="H35" s="71">
        <f>ICOR!F8</f>
        <v>8569.2999999999993</v>
      </c>
      <c r="I35" s="69">
        <f t="shared" ref="I35:I46" si="14">C19</f>
        <v>25.129086252799716</v>
      </c>
      <c r="J35" s="69">
        <f t="shared" ref="J35:J46" si="15">H35+(H35*5.6%)</f>
        <v>9049.1807999999983</v>
      </c>
      <c r="K35" s="69">
        <f t="shared" ref="K35:K46" si="16">I35*(J35-H35)</f>
        <v>12058.966014262505</v>
      </c>
    </row>
    <row r="36" spans="1:11" ht="15.5" x14ac:dyDescent="0.35">
      <c r="A36" s="23" t="s">
        <v>8</v>
      </c>
      <c r="B36" s="69">
        <f>ICOR!H9</f>
        <v>1041119.08</v>
      </c>
      <c r="C36" s="69">
        <f t="shared" si="11"/>
        <v>4.2584498695593478</v>
      </c>
      <c r="D36" s="69">
        <f t="shared" si="12"/>
        <v>978651.93519999995</v>
      </c>
      <c r="E36" s="69">
        <f t="shared" si="13"/>
        <v>266013.2046253049</v>
      </c>
      <c r="G36" s="23" t="s">
        <v>8</v>
      </c>
      <c r="H36" s="71">
        <f>ICOR!F9</f>
        <v>1000726.27</v>
      </c>
      <c r="I36" s="69">
        <f t="shared" si="14"/>
        <v>4.2584498695593478</v>
      </c>
      <c r="J36" s="69">
        <f t="shared" si="15"/>
        <v>1056766.9411200001</v>
      </c>
      <c r="K36" s="69">
        <f t="shared" si="16"/>
        <v>238646.38862098262</v>
      </c>
    </row>
    <row r="37" spans="1:11" ht="15.5" x14ac:dyDescent="0.35">
      <c r="A37" s="74" t="s">
        <v>9</v>
      </c>
      <c r="B37" s="69">
        <f>ICOR!H10</f>
        <v>994030.89</v>
      </c>
      <c r="C37" s="69">
        <f t="shared" si="11"/>
        <v>4.0940832535085878</v>
      </c>
      <c r="D37" s="69">
        <f t="shared" si="12"/>
        <v>934389.03659999999</v>
      </c>
      <c r="E37" s="69">
        <f t="shared" si="13"/>
        <v>244178.71321315432</v>
      </c>
      <c r="G37" s="74" t="s">
        <v>9</v>
      </c>
      <c r="H37" s="71">
        <f>ICOR!F10</f>
        <v>941850.09</v>
      </c>
      <c r="I37" s="69">
        <f t="shared" si="14"/>
        <v>4.0940832535085878</v>
      </c>
      <c r="J37" s="69">
        <f t="shared" si="15"/>
        <v>994593.6950399999</v>
      </c>
      <c r="K37" s="69">
        <f t="shared" si="16"/>
        <v>215936.7101239349</v>
      </c>
    </row>
    <row r="38" spans="1:11" ht="15.5" x14ac:dyDescent="0.35">
      <c r="A38" s="23" t="s">
        <v>10</v>
      </c>
      <c r="B38" s="69">
        <f>ICOR!H11</f>
        <v>511366.87</v>
      </c>
      <c r="C38" s="69">
        <f t="shared" si="11"/>
        <v>6.990389014974502</v>
      </c>
      <c r="D38" s="69">
        <f t="shared" si="12"/>
        <v>480684.8578</v>
      </c>
      <c r="E38" s="69">
        <f t="shared" si="13"/>
        <v>214479.20104019364</v>
      </c>
      <c r="G38" s="23" t="s">
        <v>10</v>
      </c>
      <c r="H38" s="71">
        <f>ICOR!F11</f>
        <v>472092.23</v>
      </c>
      <c r="I38" s="69">
        <f t="shared" si="14"/>
        <v>6.990389014974502</v>
      </c>
      <c r="J38" s="69">
        <f t="shared" si="15"/>
        <v>498529.39487999998</v>
      </c>
      <c r="K38" s="69">
        <f t="shared" si="16"/>
        <v>184806.06696422168</v>
      </c>
    </row>
    <row r="39" spans="1:11" ht="31" x14ac:dyDescent="0.35">
      <c r="A39" s="23" t="s">
        <v>11</v>
      </c>
      <c r="B39" s="69">
        <f>ICOR!H12</f>
        <v>392225.82</v>
      </c>
      <c r="C39" s="69">
        <f t="shared" si="11"/>
        <v>5.3310732694706946</v>
      </c>
      <c r="D39" s="69">
        <f t="shared" si="12"/>
        <v>368692.2708</v>
      </c>
      <c r="E39" s="69">
        <f t="shared" si="13"/>
        <v>125459.07507589349</v>
      </c>
      <c r="G39" s="23" t="s">
        <v>11</v>
      </c>
      <c r="H39" s="71">
        <f>ICOR!F12</f>
        <v>360973.97</v>
      </c>
      <c r="I39" s="69">
        <f t="shared" si="14"/>
        <v>5.3310732694706946</v>
      </c>
      <c r="J39" s="69">
        <f t="shared" si="15"/>
        <v>381188.51231999998</v>
      </c>
      <c r="K39" s="69">
        <f t="shared" si="16"/>
        <v>107765.20621673616</v>
      </c>
    </row>
    <row r="40" spans="1:11" ht="15.5" x14ac:dyDescent="0.35">
      <c r="A40" s="23" t="s">
        <v>12</v>
      </c>
      <c r="B40" s="69">
        <f>ICOR!H13</f>
        <v>458256.15</v>
      </c>
      <c r="C40" s="69">
        <f t="shared" si="11"/>
        <v>5.0335061463533206</v>
      </c>
      <c r="D40" s="69">
        <f t="shared" si="12"/>
        <v>430760.78100000002</v>
      </c>
      <c r="E40" s="69">
        <f t="shared" si="13"/>
        <v>138398.10885775258</v>
      </c>
      <c r="G40" s="23" t="s">
        <v>12</v>
      </c>
      <c r="H40" s="71">
        <f>ICOR!F13</f>
        <v>427612.45</v>
      </c>
      <c r="I40" s="69">
        <f t="shared" si="14"/>
        <v>5.0335061463533206</v>
      </c>
      <c r="J40" s="69">
        <f t="shared" si="15"/>
        <v>451558.74719999998</v>
      </c>
      <c r="K40" s="69">
        <f t="shared" si="16"/>
        <v>120533.83413860317</v>
      </c>
    </row>
    <row r="41" spans="1:11" ht="15.5" x14ac:dyDescent="0.35">
      <c r="A41" s="23" t="s">
        <v>13</v>
      </c>
      <c r="B41" s="69">
        <f>ICOR!H14</f>
        <v>306268.28999999998</v>
      </c>
      <c r="C41" s="69">
        <f t="shared" si="11"/>
        <v>26.798194155154459</v>
      </c>
      <c r="D41" s="69">
        <f t="shared" si="12"/>
        <v>287892.19259999995</v>
      </c>
      <c r="E41" s="69">
        <f t="shared" si="13"/>
        <v>492446.22593922977</v>
      </c>
      <c r="G41" s="23" t="s">
        <v>13</v>
      </c>
      <c r="H41" s="71">
        <f>ICOR!F14</f>
        <v>295081.77</v>
      </c>
      <c r="I41" s="69">
        <f t="shared" si="14"/>
        <v>26.798194155154459</v>
      </c>
      <c r="J41" s="69">
        <f t="shared" si="15"/>
        <v>311606.34912000003</v>
      </c>
      <c r="K41" s="69">
        <f t="shared" si="16"/>
        <v>442828.87958997168</v>
      </c>
    </row>
    <row r="42" spans="1:11" ht="15.5" x14ac:dyDescent="0.35">
      <c r="A42" s="23" t="s">
        <v>14</v>
      </c>
      <c r="B42" s="69">
        <f>ICOR!H15</f>
        <v>224784.9</v>
      </c>
      <c r="C42" s="69">
        <f t="shared" si="11"/>
        <v>-8.1813057194821575</v>
      </c>
      <c r="D42" s="69">
        <f t="shared" si="12"/>
        <v>211297.80599999998</v>
      </c>
      <c r="E42" s="69">
        <f t="shared" si="13"/>
        <v>-110342.03928139359</v>
      </c>
      <c r="G42" s="23" t="s">
        <v>14</v>
      </c>
      <c r="H42" s="71">
        <f>ICOR!F15</f>
        <v>217344.58</v>
      </c>
      <c r="I42" s="69">
        <f t="shared" si="14"/>
        <v>-8.1813057194821575</v>
      </c>
      <c r="J42" s="69">
        <f t="shared" si="15"/>
        <v>229515.87647999998</v>
      </c>
      <c r="K42" s="69">
        <f t="shared" si="16"/>
        <v>-99577.097505336962</v>
      </c>
    </row>
    <row r="43" spans="1:11" ht="31" x14ac:dyDescent="0.35">
      <c r="A43" s="23" t="s">
        <v>16</v>
      </c>
      <c r="B43" s="69">
        <f>ICOR!H17</f>
        <v>672482.41</v>
      </c>
      <c r="C43" s="69">
        <f t="shared" si="11"/>
        <v>10.276605033563374</v>
      </c>
      <c r="D43" s="69">
        <f t="shared" si="12"/>
        <v>632133.46539999999</v>
      </c>
      <c r="E43" s="69">
        <f t="shared" si="13"/>
        <v>414650.16717533022</v>
      </c>
      <c r="G43" s="23" t="s">
        <v>16</v>
      </c>
      <c r="H43" s="71">
        <f>ICOR!F17</f>
        <v>650260.5</v>
      </c>
      <c r="I43" s="69">
        <f t="shared" si="14"/>
        <v>10.276605033563374</v>
      </c>
      <c r="J43" s="69">
        <f t="shared" si="15"/>
        <v>686675.08799999999</v>
      </c>
      <c r="K43" s="69">
        <f t="shared" si="16"/>
        <v>374218.33833593631</v>
      </c>
    </row>
    <row r="44" spans="1:11" ht="15.5" x14ac:dyDescent="0.35">
      <c r="A44" s="23" t="s">
        <v>17</v>
      </c>
      <c r="B44" s="69">
        <f>ICOR!H18</f>
        <v>434616.25</v>
      </c>
      <c r="C44" s="69">
        <f t="shared" si="11"/>
        <v>-45.332040142454744</v>
      </c>
      <c r="D44" s="69">
        <f t="shared" si="12"/>
        <v>408539.27500000002</v>
      </c>
      <c r="E44" s="69">
        <f t="shared" si="13"/>
        <v>-1182122.4774937877</v>
      </c>
      <c r="G44" s="23" t="s">
        <v>17</v>
      </c>
      <c r="H44" s="71">
        <f>ICOR!F18</f>
        <v>409900.3</v>
      </c>
      <c r="I44" s="69">
        <f t="shared" si="14"/>
        <v>-45.332040142454744</v>
      </c>
      <c r="J44" s="69">
        <f t="shared" si="15"/>
        <v>432854.71679999999</v>
      </c>
      <c r="K44" s="69">
        <f t="shared" si="16"/>
        <v>-1040570.5438242379</v>
      </c>
    </row>
    <row r="45" spans="1:11" ht="15.5" x14ac:dyDescent="0.35">
      <c r="A45" s="23" t="s">
        <v>18</v>
      </c>
      <c r="B45" s="69">
        <f>ICOR!H19</f>
        <v>180514.13</v>
      </c>
      <c r="C45" s="69">
        <f t="shared" si="11"/>
        <v>14.203139435130016</v>
      </c>
      <c r="D45" s="69">
        <f t="shared" si="12"/>
        <v>169683.28220000002</v>
      </c>
      <c r="E45" s="69">
        <f t="shared" si="13"/>
        <v>153832.04150407101</v>
      </c>
      <c r="G45" s="23" t="s">
        <v>18</v>
      </c>
      <c r="H45" s="71">
        <f>ICOR!F19</f>
        <v>169715.19</v>
      </c>
      <c r="I45" s="69">
        <f t="shared" si="14"/>
        <v>14.203139435130016</v>
      </c>
      <c r="J45" s="69">
        <f t="shared" si="15"/>
        <v>179219.24064</v>
      </c>
      <c r="K45" s="69">
        <f t="shared" si="16"/>
        <v>134987.35643845669</v>
      </c>
    </row>
    <row r="46" spans="1:11" ht="15.5" x14ac:dyDescent="0.35">
      <c r="A46" s="23" t="s">
        <v>19</v>
      </c>
      <c r="B46" s="69">
        <f>ICOR!H20</f>
        <v>148576.93</v>
      </c>
      <c r="C46" s="69">
        <f t="shared" si="11"/>
        <v>9.2295502707803081</v>
      </c>
      <c r="D46" s="69">
        <f t="shared" si="12"/>
        <v>139662.31419999999</v>
      </c>
      <c r="E46" s="69">
        <f t="shared" si="13"/>
        <v>82277.894670792404</v>
      </c>
      <c r="G46" s="23" t="s">
        <v>19</v>
      </c>
      <c r="H46" s="71">
        <f>ICOR!F20</f>
        <v>136505.66</v>
      </c>
      <c r="I46" s="69">
        <f t="shared" si="14"/>
        <v>9.2295502707803081</v>
      </c>
      <c r="J46" s="69">
        <f t="shared" si="15"/>
        <v>144149.97696</v>
      </c>
      <c r="K46" s="69">
        <f t="shared" si="16"/>
        <v>70553.60766809847</v>
      </c>
    </row>
    <row r="49" spans="1:11" ht="43.5" x14ac:dyDescent="0.35">
      <c r="A49" s="67" t="s">
        <v>108</v>
      </c>
      <c r="B49" s="68" t="s">
        <v>127</v>
      </c>
      <c r="C49" s="68" t="s">
        <v>117</v>
      </c>
      <c r="D49" s="68" t="s">
        <v>128</v>
      </c>
      <c r="E49" s="68" t="s">
        <v>133</v>
      </c>
      <c r="G49" s="75" t="s">
        <v>108</v>
      </c>
      <c r="H49" s="68" t="s">
        <v>125</v>
      </c>
      <c r="I49" s="70" t="s">
        <v>117</v>
      </c>
      <c r="J49" s="70" t="s">
        <v>122</v>
      </c>
      <c r="K49" s="68" t="s">
        <v>132</v>
      </c>
    </row>
    <row r="50" spans="1:11" ht="15.5" x14ac:dyDescent="0.35">
      <c r="A50" s="23" t="s">
        <v>6</v>
      </c>
      <c r="B50" s="69">
        <f>ICOR!F7</f>
        <v>21149.94</v>
      </c>
      <c r="C50" s="69">
        <f>C2</f>
        <v>9.7561534646090262</v>
      </c>
      <c r="D50" s="69">
        <f>B50-(B50*6%)</f>
        <v>19880.943599999999</v>
      </c>
      <c r="E50" s="69">
        <f>C50*(B50-D50)</f>
        <v>12380.523624436382</v>
      </c>
      <c r="G50" s="23" t="s">
        <v>6</v>
      </c>
      <c r="H50" s="71">
        <f>ICOR!H7</f>
        <v>22379.919999999998</v>
      </c>
      <c r="I50" s="69">
        <f>C2</f>
        <v>9.7561534646090262</v>
      </c>
      <c r="J50" s="69">
        <f>H50+(H50*5.6%)</f>
        <v>23633.195519999997</v>
      </c>
      <c r="K50" s="69">
        <f>I50*(J50-H50)</f>
        <v>12227.148306557672</v>
      </c>
    </row>
    <row r="51" spans="1:11" ht="31" x14ac:dyDescent="0.35">
      <c r="A51" s="23" t="s">
        <v>7</v>
      </c>
      <c r="B51" s="69">
        <f>ICOR!F8</f>
        <v>8569.2999999999993</v>
      </c>
      <c r="C51" s="69">
        <f t="shared" ref="C51:C62" si="17">C3</f>
        <v>25.129086252799716</v>
      </c>
      <c r="D51" s="69">
        <f t="shared" ref="D51:D62" si="18">B51-(B51*6%)</f>
        <v>8055.1419999999998</v>
      </c>
      <c r="E51" s="69">
        <f t="shared" ref="E51:E62" si="19">C51*(B51-D51)</f>
        <v>12920.320729566982</v>
      </c>
      <c r="G51" s="23" t="s">
        <v>7</v>
      </c>
      <c r="H51" s="71">
        <f>ICOR!H8</f>
        <v>8914.8700000000008</v>
      </c>
      <c r="I51" s="69">
        <f t="shared" ref="I51:I62" si="20">C3</f>
        <v>25.129086252799716</v>
      </c>
      <c r="J51" s="69">
        <f t="shared" ref="J51:J62" si="21">H51+(H51*5.6%)</f>
        <v>9414.1027200000008</v>
      </c>
      <c r="K51" s="69">
        <f t="shared" ref="K51:K62" si="22">I51*(J51-H51)</f>
        <v>12545.262081099809</v>
      </c>
    </row>
    <row r="52" spans="1:11" ht="15.5" x14ac:dyDescent="0.35">
      <c r="A52" s="23" t="s">
        <v>8</v>
      </c>
      <c r="B52" s="69">
        <f>ICOR!F9</f>
        <v>1000726.27</v>
      </c>
      <c r="C52" s="69">
        <f t="shared" si="17"/>
        <v>4.2584498695593478</v>
      </c>
      <c r="D52" s="69">
        <f t="shared" si="18"/>
        <v>940682.69380000001</v>
      </c>
      <c r="E52" s="69">
        <f t="shared" si="19"/>
        <v>255692.5592367668</v>
      </c>
      <c r="G52" s="23" t="s">
        <v>8</v>
      </c>
      <c r="H52" s="71">
        <f>ICOR!H9</f>
        <v>1041119.08</v>
      </c>
      <c r="I52" s="69">
        <f t="shared" si="20"/>
        <v>4.2584498695593478</v>
      </c>
      <c r="J52" s="69">
        <f t="shared" si="21"/>
        <v>1099421.7484800001</v>
      </c>
      <c r="K52" s="69">
        <f t="shared" si="22"/>
        <v>248278.99098361837</v>
      </c>
    </row>
    <row r="53" spans="1:11" ht="15.5" x14ac:dyDescent="0.35">
      <c r="A53" s="74" t="s">
        <v>9</v>
      </c>
      <c r="B53" s="69">
        <f>ICOR!F10</f>
        <v>941850.09</v>
      </c>
      <c r="C53" s="69">
        <f t="shared" si="17"/>
        <v>4.0940832535085878</v>
      </c>
      <c r="D53" s="69">
        <f t="shared" si="18"/>
        <v>885339.08459999994</v>
      </c>
      <c r="E53" s="69">
        <f t="shared" si="19"/>
        <v>231360.76084707348</v>
      </c>
      <c r="G53" s="74" t="s">
        <v>9</v>
      </c>
      <c r="H53" s="71">
        <f>ICOR!H10</f>
        <v>994030.89</v>
      </c>
      <c r="I53" s="69">
        <f t="shared" si="20"/>
        <v>4.0940832535085878</v>
      </c>
      <c r="J53" s="69">
        <f t="shared" si="21"/>
        <v>1049696.6198400001</v>
      </c>
      <c r="K53" s="69">
        <f t="shared" si="22"/>
        <v>227900.13233227746</v>
      </c>
    </row>
    <row r="54" spans="1:11" ht="15.5" x14ac:dyDescent="0.35">
      <c r="A54" s="23" t="s">
        <v>10</v>
      </c>
      <c r="B54" s="69">
        <f>ICOR!F11</f>
        <v>472092.23</v>
      </c>
      <c r="C54" s="69">
        <f t="shared" si="17"/>
        <v>6.990389014974502</v>
      </c>
      <c r="D54" s="69">
        <f t="shared" si="18"/>
        <v>443766.69620000001</v>
      </c>
      <c r="E54" s="69">
        <f t="shared" si="19"/>
        <v>198006.5003188088</v>
      </c>
      <c r="G54" s="23" t="s">
        <v>10</v>
      </c>
      <c r="H54" s="71">
        <f>ICOR!H11</f>
        <v>511366.87</v>
      </c>
      <c r="I54" s="69">
        <f t="shared" si="20"/>
        <v>6.990389014974502</v>
      </c>
      <c r="J54" s="69">
        <f t="shared" si="21"/>
        <v>540003.41472</v>
      </c>
      <c r="K54" s="69">
        <f t="shared" si="22"/>
        <v>200180.58763751411</v>
      </c>
    </row>
    <row r="55" spans="1:11" ht="31" x14ac:dyDescent="0.35">
      <c r="A55" s="23" t="s">
        <v>11</v>
      </c>
      <c r="B55" s="69">
        <f>ICOR!F12</f>
        <v>360973.97</v>
      </c>
      <c r="C55" s="69">
        <f t="shared" si="17"/>
        <v>5.3310732694706946</v>
      </c>
      <c r="D55" s="69">
        <f t="shared" si="18"/>
        <v>339315.5318</v>
      </c>
      <c r="E55" s="69">
        <f t="shared" si="19"/>
        <v>115462.72094650286</v>
      </c>
      <c r="G55" s="23" t="s">
        <v>11</v>
      </c>
      <c r="H55" s="71">
        <f>ICOR!H12</f>
        <v>392225.82</v>
      </c>
      <c r="I55" s="69">
        <f t="shared" si="20"/>
        <v>5.3310732694706946</v>
      </c>
      <c r="J55" s="69">
        <f t="shared" si="21"/>
        <v>414190.46591999999</v>
      </c>
      <c r="K55" s="69">
        <f t="shared" si="22"/>
        <v>117095.13673750045</v>
      </c>
    </row>
    <row r="56" spans="1:11" ht="15.5" x14ac:dyDescent="0.35">
      <c r="A56" s="23" t="s">
        <v>12</v>
      </c>
      <c r="B56" s="69">
        <f>ICOR!F13</f>
        <v>427612.45</v>
      </c>
      <c r="C56" s="69">
        <f t="shared" si="17"/>
        <v>5.0335061463533206</v>
      </c>
      <c r="D56" s="69">
        <f t="shared" si="18"/>
        <v>401955.70300000004</v>
      </c>
      <c r="E56" s="69">
        <f t="shared" si="19"/>
        <v>129143.39371993199</v>
      </c>
      <c r="G56" s="23" t="s">
        <v>12</v>
      </c>
      <c r="H56" s="71">
        <f>ICOR!H13</f>
        <v>458256.15</v>
      </c>
      <c r="I56" s="69">
        <f t="shared" si="20"/>
        <v>5.0335061463533206</v>
      </c>
      <c r="J56" s="69">
        <f t="shared" si="21"/>
        <v>483918.49440000003</v>
      </c>
      <c r="K56" s="69">
        <f t="shared" si="22"/>
        <v>129171.56826723572</v>
      </c>
    </row>
    <row r="57" spans="1:11" ht="15.5" x14ac:dyDescent="0.35">
      <c r="A57" s="23" t="s">
        <v>13</v>
      </c>
      <c r="B57" s="69">
        <f>ICOR!F14</f>
        <v>295081.77</v>
      </c>
      <c r="C57" s="69">
        <f t="shared" si="17"/>
        <v>26.798194155154459</v>
      </c>
      <c r="D57" s="69">
        <f t="shared" si="18"/>
        <v>277376.86379999999</v>
      </c>
      <c r="E57" s="69">
        <f t="shared" si="19"/>
        <v>474459.51384639868</v>
      </c>
      <c r="G57" s="23" t="s">
        <v>13</v>
      </c>
      <c r="H57" s="71">
        <f>ICOR!H14</f>
        <v>306268.28999999998</v>
      </c>
      <c r="I57" s="69">
        <f t="shared" si="20"/>
        <v>26.798194155154459</v>
      </c>
      <c r="J57" s="69">
        <f t="shared" si="21"/>
        <v>323419.31423999998</v>
      </c>
      <c r="K57" s="69">
        <f t="shared" si="22"/>
        <v>459616.4775432804</v>
      </c>
    </row>
    <row r="58" spans="1:11" ht="15.5" x14ac:dyDescent="0.35">
      <c r="A58" s="23" t="s">
        <v>14</v>
      </c>
      <c r="B58" s="69">
        <f>ICOR!F15</f>
        <v>217344.58</v>
      </c>
      <c r="C58" s="69">
        <f t="shared" si="17"/>
        <v>-8.1813057194821575</v>
      </c>
      <c r="D58" s="69">
        <f t="shared" si="18"/>
        <v>204303.90519999998</v>
      </c>
      <c r="E58" s="69">
        <f t="shared" si="19"/>
        <v>-106689.74732714691</v>
      </c>
      <c r="G58" s="23" t="s">
        <v>14</v>
      </c>
      <c r="H58" s="71">
        <f>ICOR!H15</f>
        <v>224784.9</v>
      </c>
      <c r="I58" s="69">
        <f t="shared" si="20"/>
        <v>-8.1813057194821575</v>
      </c>
      <c r="J58" s="69">
        <f t="shared" si="21"/>
        <v>237372.85439999998</v>
      </c>
      <c r="K58" s="69">
        <f t="shared" si="22"/>
        <v>-102985.90332930049</v>
      </c>
    </row>
    <row r="59" spans="1:11" ht="31" x14ac:dyDescent="0.35">
      <c r="A59" s="23" t="s">
        <v>16</v>
      </c>
      <c r="B59" s="69">
        <f>ICOR!F17</f>
        <v>650260.5</v>
      </c>
      <c r="C59" s="69">
        <f t="shared" si="17"/>
        <v>10.276605033563374</v>
      </c>
      <c r="D59" s="69">
        <f t="shared" si="18"/>
        <v>611244.87</v>
      </c>
      <c r="E59" s="69">
        <f t="shared" si="19"/>
        <v>400948.21964564623</v>
      </c>
      <c r="G59" s="23" t="s">
        <v>16</v>
      </c>
      <c r="H59" s="71">
        <f>ICOR!H17</f>
        <v>672482.41</v>
      </c>
      <c r="I59" s="69">
        <f t="shared" si="20"/>
        <v>10.276605033563374</v>
      </c>
      <c r="J59" s="69">
        <f t="shared" si="21"/>
        <v>710141.42495999997</v>
      </c>
      <c r="K59" s="69">
        <f t="shared" si="22"/>
        <v>387006.8226969738</v>
      </c>
    </row>
    <row r="60" spans="1:11" ht="15.5" x14ac:dyDescent="0.35">
      <c r="A60" s="23" t="s">
        <v>17</v>
      </c>
      <c r="B60" s="69">
        <f>ICOR!F18</f>
        <v>409900.3</v>
      </c>
      <c r="C60" s="69">
        <f t="shared" si="17"/>
        <v>-45.332040142454744</v>
      </c>
      <c r="D60" s="69">
        <f t="shared" si="18"/>
        <v>385306.28200000001</v>
      </c>
      <c r="E60" s="69">
        <f t="shared" si="19"/>
        <v>-1114897.0112402537</v>
      </c>
      <c r="G60" s="23" t="s">
        <v>17</v>
      </c>
      <c r="H60" s="71">
        <f>ICOR!H18</f>
        <v>434616.25</v>
      </c>
      <c r="I60" s="69">
        <f t="shared" si="20"/>
        <v>-45.332040142454744</v>
      </c>
      <c r="J60" s="69">
        <f t="shared" si="21"/>
        <v>458954.76</v>
      </c>
      <c r="K60" s="69">
        <f t="shared" si="22"/>
        <v>-1103314.3123275365</v>
      </c>
    </row>
    <row r="61" spans="1:11" ht="15.5" x14ac:dyDescent="0.35">
      <c r="A61" s="23" t="s">
        <v>18</v>
      </c>
      <c r="B61" s="69">
        <f>ICOR!F19</f>
        <v>169715.19</v>
      </c>
      <c r="C61" s="69">
        <f t="shared" si="17"/>
        <v>14.203139435130016</v>
      </c>
      <c r="D61" s="69">
        <f t="shared" si="18"/>
        <v>159532.27859999999</v>
      </c>
      <c r="E61" s="69">
        <f t="shared" si="19"/>
        <v>144629.31046977517</v>
      </c>
      <c r="G61" s="23" t="s">
        <v>18</v>
      </c>
      <c r="H61" s="71">
        <f>ICOR!H19</f>
        <v>180514.13</v>
      </c>
      <c r="I61" s="69">
        <f t="shared" si="20"/>
        <v>14.203139435130016</v>
      </c>
      <c r="J61" s="69">
        <f t="shared" si="21"/>
        <v>190622.92128000001</v>
      </c>
      <c r="K61" s="69">
        <f t="shared" si="22"/>
        <v>143576.5720704665</v>
      </c>
    </row>
    <row r="62" spans="1:11" ht="15.5" x14ac:dyDescent="0.35">
      <c r="A62" s="23" t="s">
        <v>19</v>
      </c>
      <c r="B62" s="69">
        <f>ICOR!F20</f>
        <v>136505.66</v>
      </c>
      <c r="C62" s="69">
        <f t="shared" si="17"/>
        <v>9.2295502707803081</v>
      </c>
      <c r="D62" s="69">
        <f t="shared" si="18"/>
        <v>128315.3204</v>
      </c>
      <c r="E62" s="69">
        <f t="shared" si="19"/>
        <v>75593.151072962748</v>
      </c>
      <c r="G62" s="23" t="s">
        <v>19</v>
      </c>
      <c r="H62" s="71">
        <f>ICOR!H20</f>
        <v>148576.93</v>
      </c>
      <c r="I62" s="69">
        <f t="shared" si="20"/>
        <v>9.2295502707803081</v>
      </c>
      <c r="J62" s="69">
        <f t="shared" si="21"/>
        <v>156897.23807999998</v>
      </c>
      <c r="K62" s="69">
        <f t="shared" si="22"/>
        <v>76792.701692739472</v>
      </c>
    </row>
    <row r="65" spans="1:11" ht="43.5" x14ac:dyDescent="0.35">
      <c r="A65" s="67" t="s">
        <v>108</v>
      </c>
      <c r="B65" s="68" t="s">
        <v>129</v>
      </c>
      <c r="C65" s="68" t="s">
        <v>117</v>
      </c>
      <c r="D65" s="68" t="s">
        <v>130</v>
      </c>
      <c r="E65" s="68" t="s">
        <v>131</v>
      </c>
      <c r="G65" s="75" t="s">
        <v>108</v>
      </c>
      <c r="H65" s="68" t="s">
        <v>123</v>
      </c>
      <c r="I65" s="70" t="s">
        <v>117</v>
      </c>
      <c r="J65" s="70" t="s">
        <v>122</v>
      </c>
      <c r="K65" s="68" t="s">
        <v>119</v>
      </c>
    </row>
    <row r="66" spans="1:11" ht="15.5" x14ac:dyDescent="0.35">
      <c r="A66" s="23" t="s">
        <v>6</v>
      </c>
      <c r="B66" s="69">
        <f>ICOR!D7</f>
        <v>19887.099999999999</v>
      </c>
      <c r="C66" s="69">
        <f>C2</f>
        <v>9.7561534646090262</v>
      </c>
      <c r="D66" s="69">
        <f>B66-(B66*6%)</f>
        <v>18693.874</v>
      </c>
      <c r="E66" s="69">
        <f>C66*(B66-D66)</f>
        <v>11641.295973961558</v>
      </c>
      <c r="G66" s="23" t="s">
        <v>6</v>
      </c>
      <c r="H66" s="71">
        <f>ICOR!J7</f>
        <v>22782.58</v>
      </c>
      <c r="I66" s="69">
        <f>C2</f>
        <v>9.7561534646090262</v>
      </c>
      <c r="J66" s="69">
        <f>H66+(H66*5.6%)</f>
        <v>24058.404480000001</v>
      </c>
      <c r="K66" s="69">
        <f>I66*(J66-H66)</f>
        <v>12447.139420785003</v>
      </c>
    </row>
    <row r="67" spans="1:11" ht="31" x14ac:dyDescent="0.35">
      <c r="A67" s="23" t="s">
        <v>7</v>
      </c>
      <c r="B67" s="69">
        <f>ICOR!D8</f>
        <v>8228.4</v>
      </c>
      <c r="C67" s="69">
        <f t="shared" ref="C67:C78" si="23">C3</f>
        <v>25.129086252799716</v>
      </c>
      <c r="D67" s="69">
        <f t="shared" ref="D67:D78" si="24">B67-(B67*6%)</f>
        <v>7734.6959999999999</v>
      </c>
      <c r="E67" s="69">
        <f t="shared" ref="E67:E78" si="25">C67*(B67-D67)</f>
        <v>12406.330399352224</v>
      </c>
      <c r="G67" s="23" t="s">
        <v>7</v>
      </c>
      <c r="H67" s="71">
        <f>ICOR!J8</f>
        <v>8872.9699999999993</v>
      </c>
      <c r="I67" s="69">
        <f t="shared" ref="I67:I78" si="26">C3</f>
        <v>25.129086252799716</v>
      </c>
      <c r="J67" s="69">
        <f t="shared" ref="J67:J78" si="27">H67+(H67*5.6%)</f>
        <v>9369.856319999999</v>
      </c>
      <c r="K67" s="69">
        <f t="shared" ref="K67:K78" si="28">I67*(J67-H67)</f>
        <v>12486.299193116231</v>
      </c>
    </row>
    <row r="68" spans="1:11" ht="15.5" x14ac:dyDescent="0.35">
      <c r="A68" s="23" t="s">
        <v>8</v>
      </c>
      <c r="B68" s="69">
        <f>ICOR!D9</f>
        <v>952201.56</v>
      </c>
      <c r="C68" s="69">
        <f t="shared" si="23"/>
        <v>4.2584498695593478</v>
      </c>
      <c r="D68" s="69">
        <f t="shared" si="24"/>
        <v>895069.46640000003</v>
      </c>
      <c r="E68" s="69">
        <f t="shared" si="25"/>
        <v>243294.15653857254</v>
      </c>
      <c r="G68" s="23" t="s">
        <v>8</v>
      </c>
      <c r="H68" s="71">
        <f>ICOR!J9</f>
        <v>1021386.06</v>
      </c>
      <c r="I68" s="69">
        <f t="shared" si="26"/>
        <v>4.2584498695593478</v>
      </c>
      <c r="J68" s="69">
        <f t="shared" si="27"/>
        <v>1078583.67936</v>
      </c>
      <c r="K68" s="69">
        <f t="shared" si="28"/>
        <v>243573.19470269678</v>
      </c>
    </row>
    <row r="69" spans="1:11" ht="15.5" x14ac:dyDescent="0.35">
      <c r="A69" s="74" t="s">
        <v>9</v>
      </c>
      <c r="B69" s="69">
        <f>ICOR!D10</f>
        <v>889686.2</v>
      </c>
      <c r="C69" s="69">
        <f t="shared" si="23"/>
        <v>4.0940832535085878</v>
      </c>
      <c r="D69" s="69">
        <f t="shared" si="24"/>
        <v>836305.02799999993</v>
      </c>
      <c r="E69" s="69">
        <f t="shared" si="25"/>
        <v>218546.96233786162</v>
      </c>
      <c r="G69" s="74" t="s">
        <v>9</v>
      </c>
      <c r="H69" s="71">
        <f>ICOR!J10</f>
        <v>959216.92</v>
      </c>
      <c r="I69" s="69">
        <f t="shared" si="26"/>
        <v>4.0940832535085878</v>
      </c>
      <c r="J69" s="69">
        <f t="shared" si="27"/>
        <v>1012933.06752</v>
      </c>
      <c r="K69" s="69">
        <f t="shared" si="28"/>
        <v>219918.38000462885</v>
      </c>
    </row>
    <row r="70" spans="1:11" ht="15.5" x14ac:dyDescent="0.35">
      <c r="A70" s="23" t="s">
        <v>10</v>
      </c>
      <c r="B70" s="69">
        <f>ICOR!D11</f>
        <v>443250.98</v>
      </c>
      <c r="C70" s="69">
        <f t="shared" si="23"/>
        <v>6.990389014974502</v>
      </c>
      <c r="D70" s="69">
        <f t="shared" si="24"/>
        <v>416655.92119999998</v>
      </c>
      <c r="E70" s="69">
        <f t="shared" si="25"/>
        <v>185909.80688812095</v>
      </c>
      <c r="G70" s="23" t="s">
        <v>10</v>
      </c>
      <c r="H70" s="71">
        <f>ICOR!J11</f>
        <v>371393.25</v>
      </c>
      <c r="I70" s="69">
        <f t="shared" si="26"/>
        <v>6.990389014974502</v>
      </c>
      <c r="J70" s="69">
        <f t="shared" si="27"/>
        <v>392191.272</v>
      </c>
      <c r="K70" s="69">
        <f t="shared" si="28"/>
        <v>145386.264521998</v>
      </c>
    </row>
    <row r="71" spans="1:11" ht="31" x14ac:dyDescent="0.35">
      <c r="A71" s="23" t="s">
        <v>11</v>
      </c>
      <c r="B71" s="69">
        <f>ICOR!D12</f>
        <v>337687.35</v>
      </c>
      <c r="C71" s="69">
        <f t="shared" si="23"/>
        <v>5.3310732694706946</v>
      </c>
      <c r="D71" s="69">
        <f t="shared" si="24"/>
        <v>317426.109</v>
      </c>
      <c r="E71" s="69">
        <f t="shared" si="25"/>
        <v>108014.16030140358</v>
      </c>
      <c r="G71" s="23" t="s">
        <v>11</v>
      </c>
      <c r="H71" s="71">
        <f>ICOR!J12</f>
        <v>354869.82</v>
      </c>
      <c r="I71" s="69">
        <f t="shared" si="26"/>
        <v>5.3310732694706946</v>
      </c>
      <c r="J71" s="69">
        <f t="shared" si="27"/>
        <v>374742.52992</v>
      </c>
      <c r="K71" s="69">
        <f t="shared" si="28"/>
        <v>105942.87264645708</v>
      </c>
    </row>
    <row r="72" spans="1:11" ht="15.5" x14ac:dyDescent="0.35">
      <c r="A72" s="23" t="s">
        <v>12</v>
      </c>
      <c r="B72" s="69">
        <f>ICOR!D13</f>
        <v>386751.83</v>
      </c>
      <c r="C72" s="69">
        <f t="shared" si="23"/>
        <v>5.0335061463533206</v>
      </c>
      <c r="D72" s="69">
        <f t="shared" si="24"/>
        <v>363546.72020000004</v>
      </c>
      <c r="E72" s="69">
        <f t="shared" si="25"/>
        <v>116803.06280510356</v>
      </c>
      <c r="G72" s="23" t="s">
        <v>12</v>
      </c>
      <c r="H72" s="71">
        <f>ICOR!J13</f>
        <v>537630.69999999995</v>
      </c>
      <c r="I72" s="69">
        <f t="shared" si="26"/>
        <v>5.0335061463533206</v>
      </c>
      <c r="J72" s="69">
        <f t="shared" si="27"/>
        <v>567738.01919999998</v>
      </c>
      <c r="K72" s="69">
        <f t="shared" si="28"/>
        <v>151545.37624342149</v>
      </c>
    </row>
    <row r="73" spans="1:11" ht="15.5" x14ac:dyDescent="0.35">
      <c r="A73" s="23" t="s">
        <v>13</v>
      </c>
      <c r="B73" s="69">
        <f>ICOR!D14</f>
        <v>284960.96000000002</v>
      </c>
      <c r="C73" s="69">
        <f t="shared" si="23"/>
        <v>26.798194155154459</v>
      </c>
      <c r="D73" s="69">
        <f t="shared" si="24"/>
        <v>267863.30240000004</v>
      </c>
      <c r="E73" s="69">
        <f t="shared" si="25"/>
        <v>458186.34796315158</v>
      </c>
      <c r="G73" s="23" t="s">
        <v>13</v>
      </c>
      <c r="H73" s="71">
        <f>ICOR!J14</f>
        <v>309950.90999999997</v>
      </c>
      <c r="I73" s="69">
        <f t="shared" si="26"/>
        <v>26.798194155154459</v>
      </c>
      <c r="J73" s="69">
        <f t="shared" si="27"/>
        <v>327308.16095999995</v>
      </c>
      <c r="K73" s="69">
        <f t="shared" si="28"/>
        <v>465142.98122582049</v>
      </c>
    </row>
    <row r="74" spans="1:11" ht="15.5" x14ac:dyDescent="0.35">
      <c r="A74" s="23" t="s">
        <v>14</v>
      </c>
      <c r="B74" s="69">
        <f>ICOR!D15</f>
        <v>206097.24</v>
      </c>
      <c r="C74" s="69">
        <f t="shared" si="23"/>
        <v>-8.1813057194821575</v>
      </c>
      <c r="D74" s="69">
        <f t="shared" si="24"/>
        <v>193731.4056</v>
      </c>
      <c r="E74" s="69">
        <f t="shared" si="25"/>
        <v>-101168.67170288916</v>
      </c>
      <c r="G74" s="23" t="s">
        <v>14</v>
      </c>
      <c r="H74" s="71">
        <f>ICOR!J15</f>
        <v>223750.89</v>
      </c>
      <c r="I74" s="69">
        <f t="shared" si="26"/>
        <v>-8.1813057194821575</v>
      </c>
      <c r="J74" s="69">
        <f t="shared" si="27"/>
        <v>236280.93984000001</v>
      </c>
      <c r="K74" s="69">
        <f t="shared" si="28"/>
        <v>-102512.16842138843</v>
      </c>
    </row>
    <row r="75" spans="1:11" ht="31" x14ac:dyDescent="0.35">
      <c r="A75" s="23" t="s">
        <v>16</v>
      </c>
      <c r="B75" s="69">
        <f>ICOR!D17</f>
        <v>629054.75</v>
      </c>
      <c r="C75" s="69">
        <f t="shared" si="23"/>
        <v>10.276605033563374</v>
      </c>
      <c r="D75" s="69">
        <f t="shared" si="24"/>
        <v>591311.46499999997</v>
      </c>
      <c r="E75" s="69">
        <f t="shared" si="25"/>
        <v>387872.83261421736</v>
      </c>
      <c r="G75" s="23" t="s">
        <v>16</v>
      </c>
      <c r="H75" s="71">
        <f>ICOR!J17</f>
        <v>661857.18999999994</v>
      </c>
      <c r="I75" s="69">
        <f t="shared" si="26"/>
        <v>10.276605033563374</v>
      </c>
      <c r="J75" s="69">
        <f t="shared" si="27"/>
        <v>698921.19263999991</v>
      </c>
      <c r="K75" s="69">
        <f t="shared" si="28"/>
        <v>380892.1160942298</v>
      </c>
    </row>
    <row r="76" spans="1:11" ht="15.5" x14ac:dyDescent="0.35">
      <c r="A76" s="23" t="s">
        <v>17</v>
      </c>
      <c r="B76" s="69">
        <f>ICOR!D18</f>
        <v>386306.42</v>
      </c>
      <c r="C76" s="69">
        <f t="shared" si="23"/>
        <v>-45.332040142454744</v>
      </c>
      <c r="D76" s="69">
        <f t="shared" si="24"/>
        <v>363128.03479999996</v>
      </c>
      <c r="E76" s="69">
        <f t="shared" si="25"/>
        <v>-1050723.4883236799</v>
      </c>
      <c r="G76" s="23" t="s">
        <v>17</v>
      </c>
      <c r="H76" s="71">
        <f>ICOR!J18</f>
        <v>433747.02</v>
      </c>
      <c r="I76" s="69">
        <f t="shared" si="26"/>
        <v>-45.332040142454744</v>
      </c>
      <c r="J76" s="69">
        <f t="shared" si="27"/>
        <v>458036.85312000004</v>
      </c>
      <c r="K76" s="69">
        <f t="shared" si="28"/>
        <v>-1101107.690049368</v>
      </c>
    </row>
    <row r="77" spans="1:11" ht="15.5" x14ac:dyDescent="0.35">
      <c r="A77" s="23" t="s">
        <v>18</v>
      </c>
      <c r="B77" s="69">
        <f>ICOR!D19</f>
        <v>157412.71</v>
      </c>
      <c r="C77" s="69">
        <f t="shared" si="23"/>
        <v>14.203139435130016</v>
      </c>
      <c r="D77" s="69">
        <f t="shared" si="24"/>
        <v>147967.9474</v>
      </c>
      <c r="E77" s="69">
        <f t="shared" si="25"/>
        <v>134145.28013950092</v>
      </c>
      <c r="G77" s="23" t="s">
        <v>18</v>
      </c>
      <c r="H77" s="71">
        <f>ICOR!J19</f>
        <v>196096.83</v>
      </c>
      <c r="I77" s="69">
        <f t="shared" si="26"/>
        <v>14.203139435130016</v>
      </c>
      <c r="J77" s="69">
        <f t="shared" si="27"/>
        <v>207078.25248</v>
      </c>
      <c r="K77" s="69">
        <f t="shared" si="28"/>
        <v>155970.67467951137</v>
      </c>
    </row>
    <row r="78" spans="1:11" ht="15.5" x14ac:dyDescent="0.35">
      <c r="A78" s="23" t="s">
        <v>19</v>
      </c>
      <c r="B78" s="69">
        <f>ICOR!D20</f>
        <v>124894.17</v>
      </c>
      <c r="C78" s="69">
        <f t="shared" si="23"/>
        <v>9.2295502707803081</v>
      </c>
      <c r="D78" s="69">
        <f t="shared" si="24"/>
        <v>117400.51979999999</v>
      </c>
      <c r="E78" s="69">
        <f t="shared" si="25"/>
        <v>69163.021232542946</v>
      </c>
      <c r="G78" s="23" t="s">
        <v>19</v>
      </c>
      <c r="H78" s="71">
        <f>ICOR!J20</f>
        <v>138139.4</v>
      </c>
      <c r="I78" s="69">
        <f t="shared" si="26"/>
        <v>9.2295502707803081</v>
      </c>
      <c r="J78" s="69">
        <f t="shared" si="27"/>
        <v>145875.2064</v>
      </c>
      <c r="K78" s="69">
        <f t="shared" si="28"/>
        <v>71398.014053824052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LQ</vt:lpstr>
      <vt:lpstr>KLASSEN</vt:lpstr>
      <vt:lpstr>RASIO INVESTASI</vt:lpstr>
      <vt:lpstr>ICOR</vt:lpstr>
      <vt:lpstr>KEBUTUHAN INVESTASI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2023-02-09T17:39:06Z</dcterms:created>
  <dcterms:modified xsi:type="dcterms:W3CDTF">2023-03-13T08:00:11Z</dcterms:modified>
</cp:coreProperties>
</file>